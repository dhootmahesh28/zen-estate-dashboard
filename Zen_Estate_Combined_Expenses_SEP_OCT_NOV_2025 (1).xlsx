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ootm\Downloads\"/>
    </mc:Choice>
  </mc:AlternateContent>
  <xr:revisionPtr revIDLastSave="0" documentId="13_ncr:1_{6C0B082C-07E6-4549-933E-C703408DD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Sheet3" sheetId="2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3" i="1" l="1"/>
  <c r="G83" i="1"/>
  <c r="J83" i="1"/>
  <c r="S68" i="1"/>
  <c r="P101" i="1"/>
  <c r="J101" i="1"/>
  <c r="AD99" i="1"/>
  <c r="G101" i="1" s="1"/>
  <c r="M101" i="1" s="1"/>
  <c r="T97" i="1"/>
  <c r="R97" i="1"/>
  <c r="O97" i="1"/>
  <c r="J97" i="1"/>
  <c r="G97" i="1"/>
  <c r="AA95" i="1"/>
  <c r="S101" i="1" s="1"/>
  <c r="Z95" i="1"/>
  <c r="Y95" i="1"/>
  <c r="X95" i="1"/>
  <c r="V97" i="1"/>
  <c r="U97" i="1"/>
  <c r="S97" i="1"/>
  <c r="Q97" i="1"/>
  <c r="P97" i="1"/>
  <c r="K97" i="1"/>
  <c r="I97" i="1"/>
  <c r="H97" i="1"/>
  <c r="L97" i="1"/>
  <c r="L71" i="1"/>
  <c r="L77" i="1" s="1"/>
  <c r="L79" i="1" s="1"/>
  <c r="L56" i="1"/>
  <c r="V79" i="1"/>
  <c r="Y45" i="1"/>
  <c r="Y62" i="1"/>
  <c r="Y77" i="1"/>
  <c r="Z62" i="1"/>
  <c r="X62" i="1"/>
  <c r="AA77" i="1"/>
  <c r="Z77" i="1"/>
  <c r="X77" i="1"/>
  <c r="P35" i="1"/>
  <c r="P68" i="1"/>
  <c r="G77" i="1"/>
  <c r="G79" i="1" s="1"/>
  <c r="H77" i="1"/>
  <c r="H79" i="1" s="1"/>
  <c r="I77" i="1"/>
  <c r="I79" i="1" s="1"/>
  <c r="J77" i="1"/>
  <c r="J79" i="1" s="1"/>
  <c r="K77" i="1"/>
  <c r="K79" i="1" s="1"/>
  <c r="O77" i="1"/>
  <c r="O79" i="1" s="1"/>
  <c r="P77" i="1"/>
  <c r="P79" i="1" s="1"/>
  <c r="Q77" i="1"/>
  <c r="Q79" i="1" s="1"/>
  <c r="R77" i="1"/>
  <c r="R79" i="1" s="1"/>
  <c r="S77" i="1"/>
  <c r="S79" i="1" s="1"/>
  <c r="T77" i="1"/>
  <c r="T79" i="1" s="1"/>
  <c r="U77" i="1"/>
  <c r="U79" i="1" s="1"/>
  <c r="V77" i="1"/>
  <c r="W77" i="1"/>
  <c r="AD81" i="1"/>
  <c r="O20" i="3"/>
  <c r="N20" i="3"/>
  <c r="C20" i="3"/>
  <c r="B20" i="3"/>
  <c r="D20" i="3"/>
  <c r="E20" i="3"/>
  <c r="F20" i="3"/>
  <c r="G20" i="3"/>
  <c r="H20" i="3"/>
  <c r="I20" i="3"/>
  <c r="K20" i="3"/>
  <c r="L20" i="3"/>
  <c r="H9" i="1"/>
  <c r="L57" i="1"/>
  <c r="G15" i="1"/>
  <c r="S83" i="1" l="1"/>
  <c r="M83" i="1"/>
  <c r="L5" i="1" l="1"/>
  <c r="L4" i="1"/>
  <c r="G51" i="1"/>
  <c r="P51" i="1"/>
  <c r="G35" i="1"/>
  <c r="P15" i="1"/>
  <c r="J45" i="1"/>
  <c r="I45" i="1"/>
  <c r="AD13" i="1"/>
  <c r="AD32" i="1"/>
  <c r="AD48" i="1"/>
  <c r="AD66" i="1"/>
  <c r="L62" i="1"/>
  <c r="L64" i="1" s="1"/>
  <c r="Z9" i="1"/>
  <c r="X9" i="1"/>
  <c r="X29" i="1"/>
  <c r="S35" i="1" s="1"/>
  <c r="Z29" i="1"/>
  <c r="W29" i="1"/>
  <c r="O39" i="3"/>
  <c r="N39" i="3"/>
  <c r="M39" i="3"/>
  <c r="M20" i="3" s="1"/>
  <c r="L39" i="3"/>
  <c r="K39" i="3"/>
  <c r="J39" i="3"/>
  <c r="J20" i="3" s="1"/>
  <c r="I39" i="3"/>
  <c r="H39" i="3"/>
  <c r="G39" i="3"/>
  <c r="F39" i="3"/>
  <c r="E39" i="3"/>
  <c r="D39" i="3"/>
  <c r="C39" i="3"/>
  <c r="B39" i="3"/>
  <c r="L39" i="1"/>
  <c r="L45" i="1" s="1"/>
  <c r="L47" i="1" s="1"/>
  <c r="W62" i="1"/>
  <c r="H62" i="1"/>
  <c r="H64" i="1" s="1"/>
  <c r="I62" i="1"/>
  <c r="I64" i="1" s="1"/>
  <c r="J62" i="1"/>
  <c r="J64" i="1" s="1"/>
  <c r="K62" i="1"/>
  <c r="K64" i="1" s="1"/>
  <c r="O62" i="1"/>
  <c r="O64" i="1" s="1"/>
  <c r="P62" i="1"/>
  <c r="P64" i="1" s="1"/>
  <c r="Q62" i="1"/>
  <c r="R62" i="1"/>
  <c r="R64" i="1" s="1"/>
  <c r="S62" i="1"/>
  <c r="S64" i="1" s="1"/>
  <c r="T62" i="1"/>
  <c r="U62" i="1"/>
  <c r="U64" i="1" s="1"/>
  <c r="V62" i="1"/>
  <c r="V64" i="1" s="1"/>
  <c r="G62" i="1"/>
  <c r="G64" i="1" s="1"/>
  <c r="H29" i="1"/>
  <c r="H31" i="1" s="1"/>
  <c r="H11" i="1"/>
  <c r="C24" i="3"/>
  <c r="E24" i="3"/>
  <c r="D24" i="3"/>
  <c r="B24" i="3"/>
  <c r="L23" i="1"/>
  <c r="L29" i="1" s="1"/>
  <c r="L31" i="1" s="1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O24" i="3"/>
  <c r="N24" i="3"/>
  <c r="M24" i="3"/>
  <c r="L24" i="3"/>
  <c r="K24" i="3"/>
  <c r="J24" i="3"/>
  <c r="I24" i="3"/>
  <c r="H24" i="3"/>
  <c r="G24" i="3"/>
  <c r="F24" i="3"/>
  <c r="E5" i="3"/>
  <c r="D5" i="3"/>
  <c r="C5" i="3"/>
  <c r="W45" i="1"/>
  <c r="Z45" i="1"/>
  <c r="X45" i="1"/>
  <c r="S51" i="1" s="1"/>
  <c r="V45" i="1"/>
  <c r="V47" i="1" s="1"/>
  <c r="U45" i="1"/>
  <c r="U47" i="1" s="1"/>
  <c r="T45" i="1"/>
  <c r="T47" i="1" s="1"/>
  <c r="S45" i="1"/>
  <c r="S47" i="1" s="1"/>
  <c r="R45" i="1"/>
  <c r="R47" i="1" s="1"/>
  <c r="Q45" i="1"/>
  <c r="Q47" i="1" s="1"/>
  <c r="P45" i="1"/>
  <c r="P47" i="1" s="1"/>
  <c r="O45" i="1"/>
  <c r="O47" i="1" s="1"/>
  <c r="K45" i="1"/>
  <c r="K47" i="1" s="1"/>
  <c r="J47" i="1"/>
  <c r="I47" i="1"/>
  <c r="H45" i="1"/>
  <c r="H47" i="1" s="1"/>
  <c r="G45" i="1"/>
  <c r="G47" i="1" s="1"/>
  <c r="V29" i="1"/>
  <c r="V31" i="1" s="1"/>
  <c r="U29" i="1"/>
  <c r="U31" i="1" s="1"/>
  <c r="T29" i="1"/>
  <c r="T31" i="1" s="1"/>
  <c r="S29" i="1"/>
  <c r="S31" i="1" s="1"/>
  <c r="R29" i="1"/>
  <c r="R31" i="1" s="1"/>
  <c r="Q29" i="1"/>
  <c r="Q31" i="1" s="1"/>
  <c r="P29" i="1"/>
  <c r="P31" i="1" s="1"/>
  <c r="O29" i="1"/>
  <c r="O31" i="1" s="1"/>
  <c r="K29" i="1"/>
  <c r="K31" i="1" s="1"/>
  <c r="J29" i="1"/>
  <c r="J31" i="1" s="1"/>
  <c r="I29" i="1"/>
  <c r="I31" i="1" s="1"/>
  <c r="G29" i="1"/>
  <c r="G31" i="1" s="1"/>
  <c r="W9" i="1"/>
  <c r="V9" i="1"/>
  <c r="V11" i="1" s="1"/>
  <c r="U9" i="1"/>
  <c r="U11" i="1" s="1"/>
  <c r="T9" i="1"/>
  <c r="T11" i="1" s="1"/>
  <c r="S9" i="1"/>
  <c r="S11" i="1" s="1"/>
  <c r="R9" i="1"/>
  <c r="R11" i="1" s="1"/>
  <c r="Q9" i="1"/>
  <c r="Q11" i="1" s="1"/>
  <c r="P9" i="1"/>
  <c r="P11" i="1" s="1"/>
  <c r="O9" i="1"/>
  <c r="O11" i="1" s="1"/>
  <c r="K9" i="1"/>
  <c r="K11" i="1" s="1"/>
  <c r="J9" i="1"/>
  <c r="J11" i="1" s="1"/>
  <c r="I9" i="1"/>
  <c r="I11" i="1" s="1"/>
  <c r="G9" i="1"/>
  <c r="S15" i="1" l="1"/>
  <c r="L9" i="1"/>
  <c r="J35" i="1"/>
  <c r="J15" i="1"/>
  <c r="M15" i="1" s="1"/>
  <c r="J51" i="1"/>
  <c r="M51" i="1" s="1"/>
  <c r="G68" i="1"/>
  <c r="J68" i="1"/>
  <c r="T64" i="1"/>
  <c r="Q64" i="1"/>
  <c r="L11" i="1"/>
  <c r="M35" i="1"/>
  <c r="G11" i="1"/>
  <c r="M68" i="1" l="1"/>
</calcChain>
</file>

<file path=xl/sharedStrings.xml><?xml version="1.0" encoding="utf-8"?>
<sst xmlns="http://schemas.openxmlformats.org/spreadsheetml/2006/main" count="669" uniqueCount="133">
  <si>
    <t>Opening Balance = 11,52,000/-</t>
  </si>
  <si>
    <t>Sep 2025 Vendor Bills (Paid in Oct)</t>
  </si>
  <si>
    <t>Sr. No</t>
  </si>
  <si>
    <t>Date</t>
  </si>
  <si>
    <t>Vendor Name</t>
  </si>
  <si>
    <t>Amount Paid</t>
  </si>
  <si>
    <t xml:space="preserve">Wing </t>
  </si>
  <si>
    <t>A Wing</t>
  </si>
  <si>
    <t>A Shop</t>
  </si>
  <si>
    <t>B Wing</t>
  </si>
  <si>
    <t>B Shop</t>
  </si>
  <si>
    <t>C Wing</t>
  </si>
  <si>
    <t>C Shop Total</t>
  </si>
  <si>
    <t>C Shop Rahul</t>
  </si>
  <si>
    <t>C Shop Sagar</t>
  </si>
  <si>
    <t>D Wing</t>
  </si>
  <si>
    <t>D Shop</t>
  </si>
  <si>
    <t>E Wing</t>
  </si>
  <si>
    <t>E Shop</t>
  </si>
  <si>
    <t>F Wing</t>
  </si>
  <si>
    <t>G Wing</t>
  </si>
  <si>
    <t>H Wing</t>
  </si>
  <si>
    <t>I Wing</t>
  </si>
  <si>
    <t>NBH</t>
  </si>
  <si>
    <t>DS Farm</t>
  </si>
  <si>
    <t>Cash Received</t>
  </si>
  <si>
    <t>30-09-2025</t>
  </si>
  <si>
    <t>Arun Walture(Quinteze FMS)</t>
  </si>
  <si>
    <t>Amount received</t>
  </si>
  <si>
    <t>Pandve's Security Services</t>
  </si>
  <si>
    <t>Sachin Water Supplier</t>
  </si>
  <si>
    <t>Silver Streak Enterprises</t>
  </si>
  <si>
    <t>Nilesh Gavali</t>
  </si>
  <si>
    <t>Barge Enterprises</t>
  </si>
  <si>
    <t>Total Amount Received per Wing</t>
  </si>
  <si>
    <t>Dass Enterprise</t>
  </si>
  <si>
    <t>Total Amount To be Received</t>
  </si>
  <si>
    <t>Securise Services  (Housekeeping)</t>
  </si>
  <si>
    <t>Sarupa Ram (Vedant Enterprises)</t>
  </si>
  <si>
    <t>Sachin Water</t>
  </si>
  <si>
    <t>Pandve Security</t>
  </si>
  <si>
    <t>Securise HK</t>
  </si>
  <si>
    <t>Arun Quinteze</t>
  </si>
  <si>
    <t>Dass Entp</t>
  </si>
  <si>
    <t>Vendant Entp (Sarupa Ram)</t>
  </si>
  <si>
    <t>Barge Entp</t>
  </si>
  <si>
    <t>Silver Streak Entp</t>
  </si>
  <si>
    <t>Nilesh Gavli Garbage</t>
  </si>
  <si>
    <t>Safe hygyine Pest Control</t>
  </si>
  <si>
    <t>Shree Water Tank Cleaning</t>
  </si>
  <si>
    <t>VisionMax Entp</t>
  </si>
  <si>
    <t>Common Electricity</t>
  </si>
  <si>
    <t>STP Electricity</t>
  </si>
  <si>
    <t>Barricades</t>
  </si>
  <si>
    <t>NBH ERP</t>
  </si>
  <si>
    <t>NBH Pinless</t>
  </si>
  <si>
    <t>Pallavi Architect</t>
  </si>
  <si>
    <t>Diwali Gift</t>
  </si>
  <si>
    <t>Safe &amp; Hygiene Solutions</t>
  </si>
  <si>
    <t>Shree Water Tank Cleaning Services</t>
  </si>
  <si>
    <t>Amount</t>
  </si>
  <si>
    <t>Visionmax Enterprises</t>
  </si>
  <si>
    <t>STP Electricity Bill September 2025</t>
  </si>
  <si>
    <t>NBH Pinless System</t>
  </si>
  <si>
    <t>NBH ERP System</t>
  </si>
  <si>
    <t>Future Secure Safety (Barricades)</t>
  </si>
  <si>
    <t>Oct 2025 Vendor Bills (Paid in Nov)</t>
  </si>
  <si>
    <t>31-10-2025</t>
  </si>
  <si>
    <t>45800+580</t>
  </si>
  <si>
    <t>Securise Services (Housekeeping)</t>
  </si>
  <si>
    <t>Harakchand Deepchand Patava (Diwali Gift )</t>
  </si>
  <si>
    <t>Nov 2025 Vendor Bills (Paid in Dec)</t>
  </si>
  <si>
    <t>Event</t>
  </si>
  <si>
    <t>30-11-2025</t>
  </si>
  <si>
    <t>Amar Suryawanshi</t>
  </si>
  <si>
    <t>Drainage</t>
  </si>
  <si>
    <t>Abhijeet Bhimrao Jadav</t>
  </si>
  <si>
    <t>Ladder &amp; disposal Debris</t>
  </si>
  <si>
    <t>Dec 2025 Vendor Bills (Paid in Jan 2026)</t>
  </si>
  <si>
    <t>Sr.no.</t>
  </si>
  <si>
    <t>Billin Period</t>
  </si>
  <si>
    <t>Amount Received</t>
  </si>
  <si>
    <t>Amount To be Received</t>
  </si>
  <si>
    <t>Expense</t>
  </si>
  <si>
    <t>01-Sep to 30-Sep-2025</t>
  </si>
  <si>
    <t>01-Oct to 31-Oct-2025</t>
  </si>
  <si>
    <t>01-Nov to 30-Nov-2025</t>
  </si>
  <si>
    <t>Billing Period
01-Sep to 
30-Sep-2025</t>
  </si>
  <si>
    <t xml:space="preserve">C Shop </t>
  </si>
  <si>
    <t>Difference</t>
  </si>
  <si>
    <t>Billing Period
01-Oct to 
31-Oct-2025</t>
  </si>
  <si>
    <t>Billing Period
01-Nov to 
30-Nov-2025</t>
  </si>
  <si>
    <t>Cash Deposited</t>
  </si>
  <si>
    <t xml:space="preserve">Date </t>
  </si>
  <si>
    <t>Missing Transaction</t>
  </si>
  <si>
    <t>Rahul</t>
  </si>
  <si>
    <t>Sagar</t>
  </si>
  <si>
    <t>Fine</t>
  </si>
  <si>
    <t>Wing</t>
  </si>
  <si>
    <t>Billing Period
01-Dec to 
31-Dec-2025</t>
  </si>
  <si>
    <t>Total Amount To be Received per Wing</t>
  </si>
  <si>
    <t>Extra Income</t>
  </si>
  <si>
    <t>Total Nov 2025 Expense</t>
  </si>
  <si>
    <t xml:space="preserve">Pending Amount </t>
  </si>
  <si>
    <t>Samrudhi Services (Housekeeping)</t>
  </si>
  <si>
    <t>Samrudhi HK</t>
  </si>
  <si>
    <t>Quinteze</t>
  </si>
  <si>
    <t>4075/- HK Absense
2000/- Quinteze</t>
  </si>
  <si>
    <t>HK</t>
  </si>
  <si>
    <t>Vendor</t>
  </si>
  <si>
    <t>HK for meter</t>
  </si>
  <si>
    <t>Total</t>
  </si>
  <si>
    <t>MST Fine</t>
  </si>
  <si>
    <t>Total Sep 2025 Expense</t>
  </si>
  <si>
    <t>Total Oct 2025 Expense</t>
  </si>
  <si>
    <t>Total Dec 2025 Expense</t>
  </si>
  <si>
    <t>Comman Electrcity September 2025</t>
  </si>
  <si>
    <t>STP Electricity Bill October 2025</t>
  </si>
  <si>
    <t>Comman Electrcity October 2025</t>
  </si>
  <si>
    <t>STP Electricity Bill November 2025</t>
  </si>
  <si>
    <t>Comman Electrcity November 2025</t>
  </si>
  <si>
    <t>STP Electricity Bill December 2025</t>
  </si>
  <si>
    <t>Comman Electrcity December 2025</t>
  </si>
  <si>
    <t>26th January Celebration</t>
  </si>
  <si>
    <t>Jan 2026 Vendor Bills (Paid in Feb 2026)</t>
  </si>
  <si>
    <t>STP Electricity Bill Jan 2026</t>
  </si>
  <si>
    <t>Comman Electrcity Jan 2026</t>
  </si>
  <si>
    <t>Scrap</t>
  </si>
  <si>
    <t>Lift</t>
  </si>
  <si>
    <t>Feb 2026 Vendor Bills (Paid in Mar 2026)</t>
  </si>
  <si>
    <t>Comman Electrcity Feb 2026</t>
  </si>
  <si>
    <t>STP Electricity Bill Feb 2026</t>
  </si>
  <si>
    <t>MST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</si>
</sst>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1" xfId="0" applyFill="1" applyBorder="1"/>
    <xf numFmtId="15" fontId="0" fillId="0" borderId="1" xfId="0" applyNumberFormat="1" applyBorder="1"/>
    <xf numFmtId="4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44" fontId="2" fillId="5" borderId="1" xfId="0" applyNumberFormat="1" applyFont="1" applyFill="1" applyBorder="1" applyAlignment="1">
      <alignment horizontal="center" vertical="center"/>
    </xf>
    <xf numFmtId="44" fontId="2" fillId="6" borderId="1" xfId="0" applyNumberFormat="1" applyFont="1" applyFill="1" applyBorder="1" applyAlignment="1">
      <alignment horizontal="center" vertical="center"/>
    </xf>
    <xf numFmtId="44" fontId="2" fillId="7" borderId="1" xfId="0" applyNumberFormat="1" applyFont="1" applyFill="1" applyBorder="1" applyAlignment="1">
      <alignment horizontal="center" vertical="center"/>
    </xf>
    <xf numFmtId="44" fontId="2" fillId="0" borderId="1" xfId="0" applyNumberFormat="1" applyFont="1" applyBorder="1"/>
    <xf numFmtId="0" fontId="3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44" fontId="2" fillId="9" borderId="2" xfId="0" applyNumberFormat="1" applyFont="1" applyFill="1" applyBorder="1" applyAlignment="1">
      <alignment horizontal="center" vertical="center"/>
    </xf>
    <xf numFmtId="44" fontId="2" fillId="9" borderId="1" xfId="0" applyNumberFormat="1" applyFont="1" applyFill="1" applyBorder="1" applyAlignment="1">
      <alignment horizontal="center" vertical="center"/>
    </xf>
    <xf numFmtId="44" fontId="2" fillId="10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11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top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44" fontId="0" fillId="0" borderId="1" xfId="0" applyNumberFormat="1" applyBorder="1" applyAlignment="1">
      <alignment horizontal="center" vertical="center"/>
    </xf>
    <xf numFmtId="44" fontId="0" fillId="13" borderId="1" xfId="0" applyNumberFormat="1" applyFill="1" applyBorder="1" applyAlignment="1">
      <alignment horizontal="center" vertical="center"/>
    </xf>
    <xf numFmtId="44" fontId="2" fillId="5" borderId="5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0" fontId="0" fillId="16" borderId="1" xfId="0" applyFill="1" applyBorder="1" applyAlignment="1">
      <alignment horizontal="center"/>
    </xf>
    <xf numFmtId="14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44" fontId="0" fillId="17" borderId="1" xfId="0" applyNumberForma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5" fontId="0" fillId="18" borderId="0" xfId="0" applyNumberFormat="1" applyFill="1" applyAlignment="1">
      <alignment horizontal="center" vertical="center"/>
    </xf>
    <xf numFmtId="44" fontId="0" fillId="18" borderId="0" xfId="0" applyNumberFormat="1" applyFill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0" fillId="17" borderId="0" xfId="0" applyFill="1"/>
    <xf numFmtId="0" fontId="0" fillId="13" borderId="0" xfId="0" applyFill="1"/>
    <xf numFmtId="0" fontId="2" fillId="1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4" fontId="2" fillId="20" borderId="7" xfId="0" applyNumberFormat="1" applyFont="1" applyFill="1" applyBorder="1" applyAlignment="1">
      <alignment horizontal="center" vertical="center"/>
    </xf>
    <xf numFmtId="44" fontId="2" fillId="20" borderId="2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44" fontId="2" fillId="19" borderId="5" xfId="0" applyNumberFormat="1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44" fontId="2" fillId="22" borderId="5" xfId="0" applyNumberFormat="1" applyFont="1" applyFill="1" applyBorder="1" applyAlignment="1">
      <alignment horizontal="center" vertical="center"/>
    </xf>
    <xf numFmtId="44" fontId="0" fillId="22" borderId="2" xfId="0" applyNumberFormat="1" applyFill="1" applyBorder="1" applyAlignment="1">
      <alignment horizontal="left" vertical="center"/>
    </xf>
    <xf numFmtId="44" fontId="0" fillId="22" borderId="1" xfId="0" applyNumberFormat="1" applyFill="1" applyBorder="1" applyAlignment="1">
      <alignment horizontal="left" vertical="center"/>
    </xf>
    <xf numFmtId="44" fontId="0" fillId="22" borderId="2" xfId="0" applyNumberForma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 wrapText="1"/>
    </xf>
    <xf numFmtId="44" fontId="2" fillId="24" borderId="5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44" fontId="4" fillId="7" borderId="1" xfId="0" applyNumberFormat="1" applyFont="1" applyFill="1" applyBorder="1" applyAlignment="1">
      <alignment horizontal="center" vertical="center"/>
    </xf>
    <xf numFmtId="44" fontId="2" fillId="23" borderId="4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/>
    <xf numFmtId="0" fontId="0" fillId="0" borderId="1" xfId="0" applyBorder="1"/>
    <xf numFmtId="0" fontId="2" fillId="13" borderId="9" xfId="0" applyFont="1" applyFill="1" applyBorder="1" applyAlignment="1">
      <alignment horizontal="center" vertical="center" wrapText="1"/>
    </xf>
    <xf numFmtId="44" fontId="2" fillId="20" borderId="10" xfId="0" applyNumberFormat="1" applyFont="1" applyFill="1" applyBorder="1" applyAlignment="1">
      <alignment horizontal="center" vertical="center"/>
    </xf>
    <xf numFmtId="44" fontId="2" fillId="19" borderId="9" xfId="0" applyNumberFormat="1" applyFont="1" applyFill="1" applyBorder="1" applyAlignment="1">
      <alignment horizontal="center" vertical="center" wrapText="1"/>
    </xf>
    <xf numFmtId="44" fontId="2" fillId="5" borderId="9" xfId="0" applyNumberFormat="1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 wrapText="1"/>
    </xf>
    <xf numFmtId="44" fontId="2" fillId="22" borderId="9" xfId="0" applyNumberFormat="1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 wrapText="1"/>
    </xf>
    <xf numFmtId="44" fontId="2" fillId="24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27" borderId="1" xfId="0" applyFont="1" applyFill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 wrapText="1"/>
    </xf>
    <xf numFmtId="44" fontId="4" fillId="27" borderId="1" xfId="0" applyNumberFormat="1" applyFont="1" applyFill="1" applyBorder="1" applyAlignment="1">
      <alignment horizontal="center" vertical="center"/>
    </xf>
    <xf numFmtId="44" fontId="2" fillId="19" borderId="4" xfId="0" applyNumberFormat="1" applyFont="1" applyFill="1" applyBorder="1" applyAlignment="1">
      <alignment horizontal="center" vertical="center" wrapText="1"/>
    </xf>
    <xf numFmtId="44" fontId="2" fillId="5" borderId="13" xfId="0" applyNumberFormat="1" applyFont="1" applyFill="1" applyBorder="1" applyAlignment="1">
      <alignment horizontal="center" vertical="center"/>
    </xf>
    <xf numFmtId="44" fontId="2" fillId="17" borderId="14" xfId="0" applyNumberFormat="1" applyFont="1" applyFill="1" applyBorder="1" applyAlignment="1">
      <alignment horizontal="center" vertical="center" wrapText="1"/>
    </xf>
    <xf numFmtId="44" fontId="2" fillId="28" borderId="12" xfId="0" applyNumberFormat="1" applyFont="1" applyFill="1" applyBorder="1" applyAlignment="1">
      <alignment horizontal="center" vertical="center"/>
    </xf>
    <xf numFmtId="44" fontId="2" fillId="22" borderId="15" xfId="0" applyNumberFormat="1" applyFont="1" applyFill="1" applyBorder="1" applyAlignment="1">
      <alignment horizontal="center" vertical="center"/>
    </xf>
    <xf numFmtId="0" fontId="2" fillId="21" borderId="12" xfId="0" applyFont="1" applyFill="1" applyBorder="1" applyAlignment="1">
      <alignment horizontal="center" vertical="center" wrapText="1"/>
    </xf>
    <xf numFmtId="44" fontId="2" fillId="24" borderId="15" xfId="0" applyNumberFormat="1" applyFont="1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 wrapText="1"/>
    </xf>
    <xf numFmtId="44" fontId="0" fillId="10" borderId="4" xfId="0" applyNumberFormat="1" applyFill="1" applyBorder="1" applyAlignment="1">
      <alignment horizontal="center"/>
    </xf>
    <xf numFmtId="44" fontId="0" fillId="7" borderId="5" xfId="0" applyNumberFormat="1" applyFill="1" applyBorder="1" applyAlignment="1">
      <alignment horizontal="center"/>
    </xf>
    <xf numFmtId="44" fontId="0" fillId="10" borderId="5" xfId="0" applyNumberFormat="1" applyFill="1" applyBorder="1" applyAlignment="1">
      <alignment horizontal="center"/>
    </xf>
    <xf numFmtId="44" fontId="0" fillId="7" borderId="13" xfId="0" applyNumberFormat="1" applyFill="1" applyBorder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44" fontId="0" fillId="22" borderId="0" xfId="0" applyNumberFormat="1" applyFill="1" applyAlignment="1">
      <alignment horizontal="left" vertical="center"/>
    </xf>
    <xf numFmtId="0" fontId="2" fillId="11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 vertical="center"/>
    </xf>
    <xf numFmtId="44" fontId="0" fillId="17" borderId="18" xfId="0" applyNumberFormat="1" applyFill="1" applyBorder="1" applyAlignment="1">
      <alignment horizontal="center" vertical="center"/>
    </xf>
    <xf numFmtId="44" fontId="0" fillId="13" borderId="18" xfId="0" applyNumberFormat="1" applyFill="1" applyBorder="1" applyAlignment="1">
      <alignment horizontal="center" vertical="center"/>
    </xf>
    <xf numFmtId="44" fontId="2" fillId="5" borderId="18" xfId="0" applyNumberFormat="1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 vertical="center"/>
    </xf>
    <xf numFmtId="44" fontId="0" fillId="0" borderId="20" xfId="0" applyNumberFormat="1" applyBorder="1" applyAlignment="1">
      <alignment horizontal="center" vertical="center"/>
    </xf>
    <xf numFmtId="44" fontId="2" fillId="23" borderId="12" xfId="0" applyNumberFormat="1" applyFont="1" applyFill="1" applyBorder="1" applyAlignment="1">
      <alignment horizontal="center" vertical="center" wrapText="1"/>
    </xf>
    <xf numFmtId="0" fontId="2" fillId="23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44" fontId="2" fillId="24" borderId="4" xfId="0" applyNumberFormat="1" applyFont="1" applyFill="1" applyBorder="1" applyAlignment="1">
      <alignment horizontal="center" vertical="center"/>
    </xf>
    <xf numFmtId="44" fontId="2" fillId="24" borderId="13" xfId="0" applyNumberFormat="1" applyFont="1" applyFill="1" applyBorder="1" applyAlignment="1">
      <alignment horizontal="center" vertical="center"/>
    </xf>
    <xf numFmtId="44" fontId="0" fillId="26" borderId="20" xfId="0" applyNumberFormat="1" applyFill="1" applyBorder="1" applyAlignment="1">
      <alignment horizontal="center" vertical="center"/>
    </xf>
    <xf numFmtId="44" fontId="2" fillId="23" borderId="23" xfId="0" applyNumberFormat="1" applyFont="1" applyFill="1" applyBorder="1" applyAlignment="1">
      <alignment horizontal="center" vertical="center" wrapText="1"/>
    </xf>
    <xf numFmtId="44" fontId="2" fillId="23" borderId="24" xfId="0" applyNumberFormat="1" applyFont="1" applyFill="1" applyBorder="1" applyAlignment="1">
      <alignment horizontal="center" vertical="center" wrapText="1"/>
    </xf>
    <xf numFmtId="44" fontId="0" fillId="0" borderId="18" xfId="0" applyNumberFormat="1" applyBorder="1" applyAlignment="1">
      <alignment horizontal="center" vertical="center"/>
    </xf>
    <xf numFmtId="0" fontId="2" fillId="23" borderId="25" xfId="0" applyFon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/>
    </xf>
    <xf numFmtId="44" fontId="2" fillId="23" borderId="25" xfId="0" applyNumberFormat="1" applyFont="1" applyFill="1" applyBorder="1" applyAlignment="1">
      <alignment horizontal="center" vertical="center" wrapText="1"/>
    </xf>
    <xf numFmtId="44" fontId="2" fillId="23" borderId="26" xfId="0" applyNumberFormat="1" applyFont="1" applyFill="1" applyBorder="1" applyAlignment="1">
      <alignment horizontal="center" vertical="center" wrapText="1"/>
    </xf>
    <xf numFmtId="44" fontId="0" fillId="0" borderId="27" xfId="0" applyNumberFormat="1" applyBorder="1" applyAlignment="1">
      <alignment horizontal="center" vertical="center"/>
    </xf>
    <xf numFmtId="0" fontId="2" fillId="1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  <color rgb="FFFF66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"/>
  <sheetViews>
    <sheetView tabSelected="1" topLeftCell="A3" zoomScale="52" zoomScaleNormal="52" workbookViewId="0">
      <selection activeCell="H17" sqref="H17"/>
    </sheetView>
  </sheetViews>
  <sheetFormatPr defaultColWidth="9" defaultRowHeight="14.4"/>
  <cols>
    <col min="2" max="2" width="10.88671875" bestFit="1" customWidth="1"/>
    <col min="3" max="3" width="43.21875" bestFit="1" customWidth="1"/>
    <col min="4" max="4" width="12" customWidth="1"/>
    <col min="5" max="5" width="4.109375" customWidth="1"/>
    <col min="6" max="6" width="17" customWidth="1"/>
    <col min="7" max="7" width="15.33203125" bestFit="1" customWidth="1"/>
    <col min="8" max="8" width="16.21875" bestFit="1" customWidth="1"/>
    <col min="9" max="9" width="18.109375" bestFit="1" customWidth="1"/>
    <col min="10" max="10" width="16.21875" bestFit="1" customWidth="1"/>
    <col min="11" max="11" width="16.5546875" bestFit="1" customWidth="1"/>
    <col min="12" max="12" width="16.77734375" bestFit="1" customWidth="1"/>
    <col min="13" max="13" width="15.33203125" bestFit="1" customWidth="1"/>
    <col min="14" max="14" width="14.88671875" bestFit="1" customWidth="1"/>
    <col min="15" max="15" width="17.33203125" bestFit="1" customWidth="1"/>
    <col min="16" max="16" width="16.21875" bestFit="1" customWidth="1"/>
    <col min="17" max="17" width="19.5546875" bestFit="1" customWidth="1"/>
    <col min="18" max="18" width="16.33203125" bestFit="1" customWidth="1"/>
    <col min="19" max="19" width="19.6640625" bestFit="1" customWidth="1"/>
    <col min="20" max="20" width="17" bestFit="1" customWidth="1"/>
    <col min="21" max="21" width="21.5546875" bestFit="1" customWidth="1"/>
    <col min="22" max="22" width="18.33203125" bestFit="1" customWidth="1"/>
    <col min="23" max="23" width="13.6640625" bestFit="1" customWidth="1"/>
    <col min="24" max="24" width="12.33203125" bestFit="1" customWidth="1"/>
    <col min="25" max="25" width="12.33203125" customWidth="1"/>
    <col min="26" max="26" width="14" bestFit="1" customWidth="1"/>
    <col min="27" max="27" width="14" customWidth="1"/>
    <col min="28" max="28" width="12.88671875" customWidth="1"/>
    <col min="30" max="30" width="17.88671875" bestFit="1" customWidth="1"/>
    <col min="31" max="31" width="17.109375" bestFit="1" customWidth="1"/>
  </cols>
  <sheetData>
    <row r="1" spans="1:31">
      <c r="C1" s="17" t="s">
        <v>0</v>
      </c>
    </row>
    <row r="2" spans="1:31" ht="15" thickBot="1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8"/>
      <c r="V2" s="18"/>
      <c r="W2" s="18"/>
      <c r="X2" s="18"/>
      <c r="Y2" s="108"/>
      <c r="Z2" s="99"/>
    </row>
    <row r="3" spans="1:31" ht="15" thickBot="1">
      <c r="A3" s="19" t="s">
        <v>2</v>
      </c>
      <c r="B3" s="19" t="s">
        <v>3</v>
      </c>
      <c r="C3" s="19" t="s">
        <v>4</v>
      </c>
      <c r="D3" s="19" t="s">
        <v>5</v>
      </c>
      <c r="F3" s="12" t="s">
        <v>6</v>
      </c>
      <c r="G3" s="12" t="s">
        <v>7</v>
      </c>
      <c r="H3" s="12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  <c r="W3" s="100" t="s">
        <v>25</v>
      </c>
      <c r="X3" s="61" t="s">
        <v>23</v>
      </c>
      <c r="Y3" s="116" t="s">
        <v>128</v>
      </c>
      <c r="Z3" s="91" t="s">
        <v>24</v>
      </c>
      <c r="AC3" s="63" t="s">
        <v>98</v>
      </c>
      <c r="AD3" s="63" t="s">
        <v>97</v>
      </c>
      <c r="AE3" s="63" t="s">
        <v>109</v>
      </c>
    </row>
    <row r="4" spans="1:31">
      <c r="A4" s="20">
        <v>1</v>
      </c>
      <c r="B4" s="20" t="s">
        <v>26</v>
      </c>
      <c r="C4" s="21" t="s">
        <v>27</v>
      </c>
      <c r="D4" s="20">
        <v>146344.01</v>
      </c>
      <c r="F4" s="22" t="s">
        <v>28</v>
      </c>
      <c r="G4" s="22">
        <v>173167.6</v>
      </c>
      <c r="H4" s="23">
        <v>4322.88</v>
      </c>
      <c r="I4" s="22">
        <v>8384</v>
      </c>
      <c r="J4" s="23">
        <v>3705.46</v>
      </c>
      <c r="K4" s="22">
        <v>164519.5</v>
      </c>
      <c r="L4" s="22">
        <f>SUM(M4:N4)</f>
        <v>1068.56</v>
      </c>
      <c r="M4" s="36">
        <v>451</v>
      </c>
      <c r="N4" s="23">
        <v>617.55999999999995</v>
      </c>
      <c r="O4" s="22">
        <v>40000</v>
      </c>
      <c r="P4" s="22">
        <v>11234</v>
      </c>
      <c r="Q4" s="22">
        <v>248826</v>
      </c>
      <c r="R4" s="36">
        <v>27338</v>
      </c>
      <c r="S4" s="22">
        <v>173260</v>
      </c>
      <c r="T4" s="22">
        <v>173260</v>
      </c>
      <c r="U4" s="22">
        <v>183371.74</v>
      </c>
      <c r="V4" s="22">
        <v>90001.279999999999</v>
      </c>
      <c r="W4" s="101">
        <v>17000</v>
      </c>
      <c r="X4" s="104">
        <v>400</v>
      </c>
      <c r="Y4" s="117"/>
      <c r="Z4" s="105">
        <v>5000</v>
      </c>
      <c r="AB4" s="44" t="s">
        <v>95</v>
      </c>
      <c r="AC4" s="46" t="s">
        <v>7</v>
      </c>
      <c r="AD4" s="22"/>
      <c r="AE4" s="6"/>
    </row>
    <row r="5" spans="1:31">
      <c r="A5" s="20">
        <v>2</v>
      </c>
      <c r="B5" s="20" t="s">
        <v>26</v>
      </c>
      <c r="C5" s="21" t="s">
        <v>29</v>
      </c>
      <c r="D5" s="20">
        <v>456316.03</v>
      </c>
      <c r="F5" s="22" t="s">
        <v>28</v>
      </c>
      <c r="G5" s="22">
        <v>52561</v>
      </c>
      <c r="H5" s="23">
        <v>18670.41</v>
      </c>
      <c r="I5" s="22">
        <v>31117</v>
      </c>
      <c r="J5" s="23">
        <v>16031.77</v>
      </c>
      <c r="K5" s="22">
        <v>39500</v>
      </c>
      <c r="L5" s="22">
        <f>SUM(M5:N5)</f>
        <v>3671.96</v>
      </c>
      <c r="M5" s="36">
        <v>1000</v>
      </c>
      <c r="N5" s="23">
        <v>2671.96</v>
      </c>
      <c r="O5" s="22">
        <v>115749</v>
      </c>
      <c r="P5" s="36">
        <v>9632</v>
      </c>
      <c r="Q5" s="22">
        <v>60662</v>
      </c>
      <c r="R5" s="22"/>
      <c r="S5" s="22">
        <v>42322.32</v>
      </c>
      <c r="T5" s="22">
        <v>42322.32</v>
      </c>
      <c r="U5" s="22">
        <v>56315.79</v>
      </c>
      <c r="V5" s="22">
        <v>19282</v>
      </c>
      <c r="W5" s="101">
        <v>79500</v>
      </c>
      <c r="X5" s="104"/>
      <c r="Y5" s="117"/>
      <c r="Z5" s="105">
        <v>2000</v>
      </c>
      <c r="AB5" s="45" t="s">
        <v>96</v>
      </c>
      <c r="AC5" s="46" t="s">
        <v>9</v>
      </c>
      <c r="AD5" s="81"/>
      <c r="AE5" s="76"/>
    </row>
    <row r="6" spans="1:31">
      <c r="A6" s="20">
        <v>3</v>
      </c>
      <c r="B6" s="20" t="s">
        <v>26</v>
      </c>
      <c r="C6" s="21" t="s">
        <v>30</v>
      </c>
      <c r="D6" s="20">
        <v>459750.01</v>
      </c>
      <c r="F6" s="22" t="s">
        <v>28</v>
      </c>
      <c r="G6" s="22"/>
      <c r="H6" s="22"/>
      <c r="I6" s="22">
        <v>206611</v>
      </c>
      <c r="J6" s="22"/>
      <c r="K6" s="22">
        <v>2024</v>
      </c>
      <c r="L6" s="22"/>
      <c r="M6" s="22"/>
      <c r="N6" s="22"/>
      <c r="O6" s="36">
        <v>61579</v>
      </c>
      <c r="P6" s="22"/>
      <c r="Q6" s="22"/>
      <c r="R6" s="22"/>
      <c r="S6" s="22"/>
      <c r="T6" s="22"/>
      <c r="U6" s="22"/>
      <c r="V6" s="22">
        <v>4844</v>
      </c>
      <c r="W6" s="101">
        <v>2500</v>
      </c>
      <c r="X6" s="104"/>
      <c r="Y6" s="117"/>
      <c r="Z6" s="105"/>
      <c r="AC6" s="46" t="s">
        <v>11</v>
      </c>
      <c r="AD6" s="22"/>
      <c r="AE6" s="6"/>
    </row>
    <row r="7" spans="1:31">
      <c r="A7" s="20">
        <v>4</v>
      </c>
      <c r="B7" s="20" t="s">
        <v>26</v>
      </c>
      <c r="C7" s="21" t="s">
        <v>31</v>
      </c>
      <c r="D7" s="20">
        <v>7420</v>
      </c>
      <c r="F7" s="22" t="s">
        <v>28</v>
      </c>
      <c r="G7" s="6"/>
      <c r="H7" s="6"/>
      <c r="I7" s="22">
        <v>4187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02">
        <v>38380</v>
      </c>
      <c r="X7" s="104"/>
      <c r="Y7" s="117"/>
      <c r="Z7" s="105"/>
      <c r="AC7" s="46" t="s">
        <v>15</v>
      </c>
      <c r="AD7" s="81"/>
      <c r="AE7" s="6"/>
    </row>
    <row r="8" spans="1:31" ht="16.8" customHeight="1" thickBot="1">
      <c r="A8" s="20">
        <v>5</v>
      </c>
      <c r="B8" s="20" t="s">
        <v>26</v>
      </c>
      <c r="C8" s="21" t="s">
        <v>32</v>
      </c>
      <c r="D8" s="20">
        <v>21800</v>
      </c>
      <c r="F8" s="22" t="s">
        <v>28</v>
      </c>
      <c r="G8" s="6"/>
      <c r="H8" s="6"/>
      <c r="I8" s="2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02">
        <v>8650</v>
      </c>
      <c r="X8" s="104"/>
      <c r="Y8" s="117"/>
      <c r="Z8" s="105"/>
      <c r="AC8" s="46" t="s">
        <v>17</v>
      </c>
      <c r="AD8" s="82"/>
      <c r="AE8" s="6"/>
    </row>
    <row r="9" spans="1:31" ht="29.4" thickBot="1">
      <c r="A9" s="20">
        <v>6</v>
      </c>
      <c r="B9" s="20" t="s">
        <v>26</v>
      </c>
      <c r="C9" s="21" t="s">
        <v>33</v>
      </c>
      <c r="D9" s="20">
        <v>10499.99</v>
      </c>
      <c r="F9" s="50" t="s">
        <v>34</v>
      </c>
      <c r="G9" s="8">
        <f t="shared" ref="G9:V9" si="0">SUM(G4:G8)</f>
        <v>225728.6</v>
      </c>
      <c r="H9" s="8">
        <f>SUM(H4:H8)</f>
        <v>22993.29</v>
      </c>
      <c r="I9" s="8">
        <f t="shared" si="0"/>
        <v>250299</v>
      </c>
      <c r="J9" s="8">
        <f t="shared" si="0"/>
        <v>19737.23</v>
      </c>
      <c r="K9" s="8">
        <f t="shared" si="0"/>
        <v>206043.5</v>
      </c>
      <c r="L9" s="8">
        <f>SUM(L4:L8)</f>
        <v>4740.5200000000004</v>
      </c>
      <c r="M9" s="8"/>
      <c r="N9" s="8"/>
      <c r="O9" s="8">
        <f t="shared" si="0"/>
        <v>217328</v>
      </c>
      <c r="P9" s="8">
        <f t="shared" si="0"/>
        <v>20866</v>
      </c>
      <c r="Q9" s="8">
        <f t="shared" si="0"/>
        <v>309488</v>
      </c>
      <c r="R9" s="8">
        <f t="shared" si="0"/>
        <v>27338</v>
      </c>
      <c r="S9" s="8">
        <f t="shared" si="0"/>
        <v>215582.32</v>
      </c>
      <c r="T9" s="8">
        <f t="shared" si="0"/>
        <v>215582.32</v>
      </c>
      <c r="U9" s="8">
        <f t="shared" si="0"/>
        <v>239687.53</v>
      </c>
      <c r="V9" s="8">
        <f t="shared" si="0"/>
        <v>114127.28</v>
      </c>
      <c r="W9" s="103">
        <f>SUM(W4:W8)</f>
        <v>146030</v>
      </c>
      <c r="X9" s="65">
        <f>SUM(X4:X8)</f>
        <v>400</v>
      </c>
      <c r="Y9" s="118"/>
      <c r="Z9" s="106">
        <f>SUM(Z4:Z8)</f>
        <v>7000</v>
      </c>
      <c r="AC9" s="46" t="s">
        <v>19</v>
      </c>
      <c r="AD9" s="22"/>
      <c r="AE9" s="6"/>
    </row>
    <row r="10" spans="1:31" ht="28.8">
      <c r="A10" s="20">
        <v>7</v>
      </c>
      <c r="B10" s="20" t="s">
        <v>26</v>
      </c>
      <c r="C10" s="21" t="s">
        <v>35</v>
      </c>
      <c r="D10" s="20">
        <v>102088</v>
      </c>
      <c r="F10" s="54" t="s">
        <v>36</v>
      </c>
      <c r="G10" s="49">
        <v>225409</v>
      </c>
      <c r="H10" s="49">
        <v>24122</v>
      </c>
      <c r="I10" s="49">
        <v>217328</v>
      </c>
      <c r="J10" s="49">
        <v>20866</v>
      </c>
      <c r="K10" s="49">
        <v>216761</v>
      </c>
      <c r="L10" s="49">
        <v>20866</v>
      </c>
      <c r="M10" s="49"/>
      <c r="N10" s="49"/>
      <c r="O10" s="49">
        <v>217328</v>
      </c>
      <c r="P10" s="49">
        <v>20866</v>
      </c>
      <c r="Q10" s="49">
        <v>328450</v>
      </c>
      <c r="R10" s="49">
        <v>27338</v>
      </c>
      <c r="S10" s="49">
        <v>229153</v>
      </c>
      <c r="T10" s="49">
        <v>229153</v>
      </c>
      <c r="U10" s="49">
        <v>239265</v>
      </c>
      <c r="V10" s="49">
        <v>108990</v>
      </c>
      <c r="AC10" s="46" t="s">
        <v>20</v>
      </c>
      <c r="AD10" s="22"/>
      <c r="AE10" s="6"/>
    </row>
    <row r="11" spans="1:31">
      <c r="A11" s="20">
        <v>8</v>
      </c>
      <c r="B11" s="20" t="s">
        <v>26</v>
      </c>
      <c r="C11" s="21" t="s">
        <v>37</v>
      </c>
      <c r="D11" s="20">
        <v>274693.07</v>
      </c>
      <c r="F11" s="56" t="s">
        <v>103</v>
      </c>
      <c r="G11" s="64">
        <f>(G10-G9)</f>
        <v>-319.60000000000582</v>
      </c>
      <c r="H11" s="64">
        <f>(H10-H9)</f>
        <v>1128.7099999999991</v>
      </c>
      <c r="I11" s="64">
        <f t="shared" ref="I11" si="1">(I10-I9)</f>
        <v>-32971</v>
      </c>
      <c r="J11" s="64">
        <f t="shared" ref="J11" si="2">(J10-J9)</f>
        <v>1128.7700000000004</v>
      </c>
      <c r="K11" s="64">
        <f t="shared" ref="K11" si="3">(K10-K9)</f>
        <v>10717.5</v>
      </c>
      <c r="L11" s="64">
        <f t="shared" ref="L11" si="4">(L10-L9)</f>
        <v>16125.48</v>
      </c>
      <c r="M11" s="64"/>
      <c r="N11" s="64"/>
      <c r="O11" s="64">
        <f t="shared" ref="O11" si="5">(O10-O9)</f>
        <v>0</v>
      </c>
      <c r="P11" s="64">
        <f t="shared" ref="P11" si="6">(P10-P9)</f>
        <v>0</v>
      </c>
      <c r="Q11" s="64">
        <f t="shared" ref="Q11" si="7">(Q10-Q9)</f>
        <v>18962</v>
      </c>
      <c r="R11" s="64">
        <f t="shared" ref="R11" si="8">(R10-R9)</f>
        <v>0</v>
      </c>
      <c r="S11" s="64">
        <f t="shared" ref="S11" si="9">(S10-S9)</f>
        <v>13570.679999999993</v>
      </c>
      <c r="T11" s="64">
        <f t="shared" ref="T11" si="10">(T10-T9)</f>
        <v>13570.679999999993</v>
      </c>
      <c r="U11" s="64">
        <f t="shared" ref="U11" si="11">(U10-U9)</f>
        <v>-422.52999999999884</v>
      </c>
      <c r="V11" s="64">
        <f t="shared" ref="V11" si="12">(V10-V9)</f>
        <v>-5137.2799999999988</v>
      </c>
      <c r="W11" s="28"/>
      <c r="X11" s="28"/>
      <c r="Y11" s="28"/>
      <c r="Z11" s="28"/>
      <c r="AA11" s="28"/>
      <c r="AC11" s="46" t="s">
        <v>21</v>
      </c>
      <c r="AD11" s="22"/>
      <c r="AE11" s="6"/>
    </row>
    <row r="12" spans="1:31" ht="28.8">
      <c r="A12" s="20">
        <v>9</v>
      </c>
      <c r="B12" s="20" t="s">
        <v>26</v>
      </c>
      <c r="C12" s="21" t="s">
        <v>38</v>
      </c>
      <c r="D12" s="20">
        <v>37892.980000000003</v>
      </c>
      <c r="F12" s="25" t="s">
        <v>4</v>
      </c>
      <c r="G12" s="25" t="s">
        <v>39</v>
      </c>
      <c r="H12" s="26" t="s">
        <v>40</v>
      </c>
      <c r="I12" s="26" t="s">
        <v>41</v>
      </c>
      <c r="J12" s="13" t="s">
        <v>42</v>
      </c>
      <c r="K12" s="13" t="s">
        <v>43</v>
      </c>
      <c r="L12" s="37" t="s">
        <v>44</v>
      </c>
      <c r="M12" s="13" t="s">
        <v>45</v>
      </c>
      <c r="N12" s="37" t="s">
        <v>46</v>
      </c>
      <c r="O12" s="37" t="s">
        <v>47</v>
      </c>
      <c r="P12" s="37" t="s">
        <v>48</v>
      </c>
      <c r="Q12" s="37" t="s">
        <v>49</v>
      </c>
      <c r="R12" s="37" t="s">
        <v>50</v>
      </c>
      <c r="S12" s="38" t="s">
        <v>51</v>
      </c>
      <c r="T12" s="38" t="s">
        <v>52</v>
      </c>
      <c r="U12" s="13" t="s">
        <v>53</v>
      </c>
      <c r="V12" s="38" t="s">
        <v>54</v>
      </c>
      <c r="W12" s="38" t="s">
        <v>57</v>
      </c>
      <c r="X12" s="38" t="s">
        <v>55</v>
      </c>
      <c r="Y12" s="38"/>
      <c r="Z12" s="38" t="s">
        <v>56</v>
      </c>
      <c r="AA12" s="96"/>
      <c r="AC12" s="46" t="s">
        <v>22</v>
      </c>
      <c r="AD12" s="22"/>
      <c r="AE12" s="6"/>
    </row>
    <row r="13" spans="1:31">
      <c r="A13" s="20">
        <v>10</v>
      </c>
      <c r="B13" s="20" t="s">
        <v>26</v>
      </c>
      <c r="C13" s="21" t="s">
        <v>58</v>
      </c>
      <c r="D13" s="20">
        <v>28499.99</v>
      </c>
      <c r="F13" s="22" t="s">
        <v>3</v>
      </c>
      <c r="G13" s="27">
        <v>45939</v>
      </c>
      <c r="H13" s="27">
        <v>45939</v>
      </c>
      <c r="I13" s="27">
        <v>45939</v>
      </c>
      <c r="J13" s="27">
        <v>45939</v>
      </c>
      <c r="K13" s="27">
        <v>45939</v>
      </c>
      <c r="L13" s="27">
        <v>45939</v>
      </c>
      <c r="M13" s="27">
        <v>45939</v>
      </c>
      <c r="N13" s="27">
        <v>45939</v>
      </c>
      <c r="O13" s="27">
        <v>45939</v>
      </c>
      <c r="P13" s="27">
        <v>45939</v>
      </c>
      <c r="Q13" s="27">
        <v>45939</v>
      </c>
      <c r="R13" s="27">
        <v>45939</v>
      </c>
      <c r="S13" s="27">
        <v>45943</v>
      </c>
      <c r="T13" s="27">
        <v>45943</v>
      </c>
      <c r="U13" s="27">
        <v>45939</v>
      </c>
      <c r="V13" s="27">
        <v>45940</v>
      </c>
      <c r="W13" s="27">
        <v>45956</v>
      </c>
      <c r="X13" s="27">
        <v>45940</v>
      </c>
      <c r="Y13" s="27"/>
      <c r="Z13" s="27">
        <v>45948</v>
      </c>
      <c r="AA13" s="97"/>
      <c r="AC13" s="80" t="s">
        <v>111</v>
      </c>
      <c r="AD13" s="83">
        <f>SUM(AD4:AD12)</f>
        <v>0</v>
      </c>
      <c r="AE13" s="80"/>
    </row>
    <row r="14" spans="1:31" ht="15" thickBot="1">
      <c r="A14" s="20">
        <v>11</v>
      </c>
      <c r="B14" s="20" t="s">
        <v>26</v>
      </c>
      <c r="C14" s="21" t="s">
        <v>59</v>
      </c>
      <c r="D14" s="20">
        <v>44000</v>
      </c>
      <c r="F14" s="59" t="s">
        <v>60</v>
      </c>
      <c r="G14" s="59">
        <v>459750</v>
      </c>
      <c r="H14" s="59">
        <v>456316</v>
      </c>
      <c r="I14" s="59">
        <v>274686</v>
      </c>
      <c r="J14" s="59">
        <v>146343</v>
      </c>
      <c r="K14" s="59">
        <v>102188</v>
      </c>
      <c r="L14" s="59">
        <v>37893</v>
      </c>
      <c r="M14" s="59">
        <v>10499</v>
      </c>
      <c r="N14" s="59">
        <v>7420</v>
      </c>
      <c r="O14" s="59">
        <v>21800</v>
      </c>
      <c r="P14" s="59">
        <v>28500</v>
      </c>
      <c r="Q14" s="59">
        <v>44000</v>
      </c>
      <c r="R14" s="59">
        <v>35310</v>
      </c>
      <c r="S14" s="59">
        <v>291520</v>
      </c>
      <c r="T14" s="59">
        <v>182940</v>
      </c>
      <c r="U14" s="59">
        <v>8710</v>
      </c>
      <c r="V14" s="59">
        <v>15800</v>
      </c>
      <c r="W14" s="59">
        <v>45175</v>
      </c>
      <c r="X14" s="59">
        <v>93778</v>
      </c>
      <c r="Y14" s="59"/>
      <c r="Z14" s="59">
        <v>18000</v>
      </c>
      <c r="AA14" s="98"/>
    </row>
    <row r="15" spans="1:31" ht="43.8" thickBot="1">
      <c r="A15" s="20">
        <v>12</v>
      </c>
      <c r="B15" s="20" t="s">
        <v>26</v>
      </c>
      <c r="C15" s="21" t="s">
        <v>61</v>
      </c>
      <c r="D15" s="20">
        <v>35309.99</v>
      </c>
      <c r="F15" s="51" t="s">
        <v>100</v>
      </c>
      <c r="G15" s="48">
        <f>SUM(G10:V10)</f>
        <v>2125895</v>
      </c>
      <c r="I15" s="84" t="s">
        <v>34</v>
      </c>
      <c r="J15" s="85">
        <f>SUM(G9:V9)-AD13</f>
        <v>2089541.5900000003</v>
      </c>
      <c r="L15" s="86" t="s">
        <v>89</v>
      </c>
      <c r="M15" s="87">
        <f>(G15-J15)</f>
        <v>36353.409999999683</v>
      </c>
      <c r="O15" s="89" t="s">
        <v>113</v>
      </c>
      <c r="P15" s="88">
        <f>SUM(G14:Z14)</f>
        <v>2280628</v>
      </c>
      <c r="Q15" s="28"/>
      <c r="R15" s="91" t="s">
        <v>101</v>
      </c>
      <c r="S15" s="90">
        <f>SUM(X9:Z9)</f>
        <v>7400</v>
      </c>
      <c r="T15" s="22">
        <v>91470</v>
      </c>
      <c r="U15" s="28"/>
      <c r="V15" s="28"/>
      <c r="W15" s="28"/>
      <c r="X15" s="28"/>
      <c r="Y15" s="28"/>
      <c r="Z15" s="28"/>
      <c r="AA15" s="28"/>
    </row>
    <row r="16" spans="1:31">
      <c r="A16" s="20">
        <v>13</v>
      </c>
      <c r="B16" s="20" t="s">
        <v>26</v>
      </c>
      <c r="C16" s="21" t="s">
        <v>62</v>
      </c>
      <c r="D16" s="20">
        <v>91469.97</v>
      </c>
      <c r="T16" s="3">
        <v>91470</v>
      </c>
    </row>
    <row r="17" spans="1:31">
      <c r="A17" s="20">
        <v>14</v>
      </c>
      <c r="B17" s="20" t="s">
        <v>26</v>
      </c>
      <c r="C17" s="21" t="s">
        <v>116</v>
      </c>
      <c r="D17" s="20">
        <v>291521</v>
      </c>
    </row>
    <row r="18" spans="1:31" ht="16.2" customHeight="1">
      <c r="A18" s="20">
        <v>15</v>
      </c>
      <c r="B18" s="20" t="s">
        <v>26</v>
      </c>
      <c r="C18" s="21" t="s">
        <v>63</v>
      </c>
      <c r="D18" s="20">
        <v>93778.02</v>
      </c>
    </row>
    <row r="19" spans="1:31">
      <c r="A19" s="20">
        <v>16</v>
      </c>
      <c r="B19" s="20" t="s">
        <v>26</v>
      </c>
      <c r="C19" s="21" t="s">
        <v>64</v>
      </c>
      <c r="D19" s="20">
        <v>15800</v>
      </c>
    </row>
    <row r="20" spans="1:31">
      <c r="A20" s="20">
        <v>17</v>
      </c>
      <c r="B20" s="20" t="s">
        <v>26</v>
      </c>
      <c r="C20" s="21" t="s">
        <v>65</v>
      </c>
      <c r="D20" s="20">
        <v>8709.99</v>
      </c>
    </row>
    <row r="21" spans="1:31" ht="15" thickBot="1">
      <c r="A21" s="121" t="s">
        <v>66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8"/>
      <c r="V21" s="18"/>
      <c r="W21" s="18"/>
      <c r="X21" s="18"/>
      <c r="Y21" s="108"/>
      <c r="Z21" s="99"/>
    </row>
    <row r="22" spans="1:31" ht="15" thickBot="1">
      <c r="A22" s="19" t="s">
        <v>2</v>
      </c>
      <c r="B22" s="19" t="s">
        <v>3</v>
      </c>
      <c r="C22" s="19" t="s">
        <v>4</v>
      </c>
      <c r="D22" s="19" t="s">
        <v>5</v>
      </c>
      <c r="F22" s="12" t="s">
        <v>6</v>
      </c>
      <c r="G22" s="12" t="s">
        <v>7</v>
      </c>
      <c r="H22" s="12" t="s">
        <v>8</v>
      </c>
      <c r="I22" s="13" t="s">
        <v>9</v>
      </c>
      <c r="J22" s="13" t="s">
        <v>10</v>
      </c>
      <c r="K22" s="13" t="s">
        <v>11</v>
      </c>
      <c r="L22" s="13" t="s">
        <v>12</v>
      </c>
      <c r="M22" s="13" t="s">
        <v>13</v>
      </c>
      <c r="N22" s="13" t="s">
        <v>14</v>
      </c>
      <c r="O22" s="13" t="s">
        <v>15</v>
      </c>
      <c r="P22" s="13" t="s">
        <v>16</v>
      </c>
      <c r="Q22" s="13" t="s">
        <v>17</v>
      </c>
      <c r="R22" s="13" t="s">
        <v>18</v>
      </c>
      <c r="S22" s="13" t="s">
        <v>19</v>
      </c>
      <c r="T22" s="13" t="s">
        <v>20</v>
      </c>
      <c r="U22" s="13" t="s">
        <v>21</v>
      </c>
      <c r="V22" s="13" t="s">
        <v>22</v>
      </c>
      <c r="W22" s="100" t="s">
        <v>25</v>
      </c>
      <c r="X22" s="107" t="s">
        <v>23</v>
      </c>
      <c r="Y22" s="116" t="s">
        <v>128</v>
      </c>
      <c r="Z22" s="91" t="s">
        <v>72</v>
      </c>
      <c r="AC22" s="63" t="s">
        <v>98</v>
      </c>
      <c r="AD22" s="63" t="s">
        <v>97</v>
      </c>
      <c r="AE22" s="63" t="s">
        <v>109</v>
      </c>
    </row>
    <row r="23" spans="1:31">
      <c r="A23" s="29">
        <v>1</v>
      </c>
      <c r="B23" s="29" t="s">
        <v>67</v>
      </c>
      <c r="C23" s="30" t="s">
        <v>27</v>
      </c>
      <c r="D23" s="29">
        <v>161777.97</v>
      </c>
      <c r="F23" s="22" t="s">
        <v>28</v>
      </c>
      <c r="G23" s="22">
        <v>175083</v>
      </c>
      <c r="H23" s="23">
        <v>20273</v>
      </c>
      <c r="I23" s="22">
        <v>180094</v>
      </c>
      <c r="J23" s="23">
        <v>17377</v>
      </c>
      <c r="K23" s="22">
        <v>197210</v>
      </c>
      <c r="L23" s="22">
        <f>SUM(M23:N23)</f>
        <v>12650</v>
      </c>
      <c r="M23" s="36">
        <v>9754</v>
      </c>
      <c r="N23" s="23">
        <v>2896</v>
      </c>
      <c r="O23" s="22">
        <v>50000</v>
      </c>
      <c r="P23" s="36">
        <v>19880</v>
      </c>
      <c r="Q23" s="22">
        <v>243140</v>
      </c>
      <c r="R23" s="36">
        <v>26508</v>
      </c>
      <c r="S23" s="22">
        <v>17907.7</v>
      </c>
      <c r="T23" s="22">
        <v>168151</v>
      </c>
      <c r="U23" s="22">
        <v>221668</v>
      </c>
      <c r="V23" s="22">
        <v>92919</v>
      </c>
      <c r="W23" s="101">
        <v>31500</v>
      </c>
      <c r="X23" s="104">
        <v>800</v>
      </c>
      <c r="Y23" s="117"/>
      <c r="Z23" s="112"/>
      <c r="AB23" s="44" t="s">
        <v>95</v>
      </c>
      <c r="AC23" s="46" t="s">
        <v>7</v>
      </c>
      <c r="AD23" s="22"/>
      <c r="AE23" s="6"/>
    </row>
    <row r="24" spans="1:31">
      <c r="A24" s="29">
        <v>2</v>
      </c>
      <c r="B24" s="29" t="s">
        <v>67</v>
      </c>
      <c r="C24" s="30" t="s">
        <v>29</v>
      </c>
      <c r="D24" s="29">
        <v>436871.98</v>
      </c>
      <c r="F24" s="22" t="s">
        <v>28</v>
      </c>
      <c r="G24" s="22">
        <v>8615.3799999999992</v>
      </c>
      <c r="H24" s="22"/>
      <c r="I24" s="22">
        <v>35906</v>
      </c>
      <c r="J24" s="22"/>
      <c r="K24" s="22">
        <v>10717</v>
      </c>
      <c r="L24" s="22"/>
      <c r="M24" s="22"/>
      <c r="N24" s="22"/>
      <c r="O24" s="22">
        <v>40000</v>
      </c>
      <c r="P24" s="22"/>
      <c r="Q24" s="22">
        <v>24969</v>
      </c>
      <c r="R24" s="22"/>
      <c r="S24" s="22">
        <v>168151</v>
      </c>
      <c r="T24" s="22">
        <v>1128</v>
      </c>
      <c r="U24" s="22"/>
      <c r="V24" s="22">
        <v>7378</v>
      </c>
      <c r="W24" s="101">
        <v>97500</v>
      </c>
      <c r="X24" s="104">
        <v>500</v>
      </c>
      <c r="Y24" s="117"/>
      <c r="Z24" s="112"/>
      <c r="AB24" s="45" t="s">
        <v>96</v>
      </c>
      <c r="AC24" s="46" t="s">
        <v>9</v>
      </c>
      <c r="AD24" s="81">
        <v>2000</v>
      </c>
      <c r="AE24" s="76" t="s">
        <v>106</v>
      </c>
    </row>
    <row r="25" spans="1:31">
      <c r="A25" s="29">
        <v>3</v>
      </c>
      <c r="B25" s="29" t="s">
        <v>67</v>
      </c>
      <c r="C25" s="30" t="s">
        <v>30</v>
      </c>
      <c r="D25" s="29">
        <v>460500.01</v>
      </c>
      <c r="F25" s="22" t="s">
        <v>28</v>
      </c>
      <c r="G25" s="22">
        <v>26971.45</v>
      </c>
      <c r="H25" s="22"/>
      <c r="I25" s="22"/>
      <c r="J25" s="22"/>
      <c r="K25" s="22"/>
      <c r="L25" s="22"/>
      <c r="M25" s="22"/>
      <c r="N25" s="22"/>
      <c r="O25" s="22">
        <v>17592</v>
      </c>
      <c r="P25" s="22"/>
      <c r="Q25" s="22">
        <v>55142</v>
      </c>
      <c r="R25" s="22"/>
      <c r="S25" s="22">
        <v>38470.769999999997</v>
      </c>
      <c r="T25" s="22">
        <v>958.9</v>
      </c>
      <c r="U25" s="22"/>
      <c r="V25" s="22"/>
      <c r="W25" s="101">
        <v>14000</v>
      </c>
      <c r="X25" s="104"/>
      <c r="Y25" s="117"/>
      <c r="Z25" s="112"/>
      <c r="AC25" s="46" t="s">
        <v>11</v>
      </c>
      <c r="AD25" s="22"/>
      <c r="AE25" s="6"/>
    </row>
    <row r="26" spans="1:31">
      <c r="A26" s="29">
        <v>4</v>
      </c>
      <c r="B26" s="29" t="s">
        <v>67</v>
      </c>
      <c r="C26" s="30" t="s">
        <v>31</v>
      </c>
      <c r="D26" s="29">
        <v>8750</v>
      </c>
      <c r="F26" s="22" t="s">
        <v>28</v>
      </c>
      <c r="G26" s="6"/>
      <c r="H26" s="6"/>
      <c r="I26" s="22"/>
      <c r="J26" s="6"/>
      <c r="K26" s="6"/>
      <c r="L26" s="6"/>
      <c r="M26" s="6"/>
      <c r="N26" s="6"/>
      <c r="O26" s="36">
        <v>91618</v>
      </c>
      <c r="P26" s="6"/>
      <c r="Q26" s="6"/>
      <c r="R26" s="6"/>
      <c r="S26" s="6"/>
      <c r="T26" s="22">
        <v>4337</v>
      </c>
      <c r="U26" s="6"/>
      <c r="V26" s="6"/>
      <c r="W26" s="101">
        <v>1000</v>
      </c>
      <c r="X26" s="104"/>
      <c r="Y26" s="117"/>
      <c r="Z26" s="112"/>
      <c r="AC26" s="46" t="s">
        <v>15</v>
      </c>
      <c r="AD26" s="81"/>
      <c r="AE26" s="6"/>
    </row>
    <row r="27" spans="1:31">
      <c r="A27" s="29">
        <v>5</v>
      </c>
      <c r="B27" s="29" t="s">
        <v>67</v>
      </c>
      <c r="C27" s="30" t="s">
        <v>32</v>
      </c>
      <c r="D27" s="29">
        <v>21800</v>
      </c>
      <c r="F27" s="22" t="s">
        <v>28</v>
      </c>
      <c r="G27" s="6"/>
      <c r="H27" s="6"/>
      <c r="I27" s="22"/>
      <c r="J27" s="6"/>
      <c r="K27" s="6"/>
      <c r="L27" s="6"/>
      <c r="M27" s="6"/>
      <c r="N27" s="6"/>
      <c r="O27" s="6"/>
      <c r="P27" s="6"/>
      <c r="Q27" s="6"/>
      <c r="R27" s="6"/>
      <c r="S27" s="6"/>
      <c r="T27" s="22">
        <v>29240</v>
      </c>
      <c r="U27" s="6"/>
      <c r="V27" s="6"/>
      <c r="W27" s="101">
        <v>3760</v>
      </c>
      <c r="X27" s="104"/>
      <c r="Y27" s="117"/>
      <c r="Z27" s="112"/>
      <c r="AC27" s="46" t="s">
        <v>17</v>
      </c>
      <c r="AD27" s="82"/>
      <c r="AE27" s="6"/>
    </row>
    <row r="28" spans="1:31">
      <c r="A28" s="29">
        <v>6</v>
      </c>
      <c r="B28" s="29" t="s">
        <v>67</v>
      </c>
      <c r="C28" s="30" t="s">
        <v>33</v>
      </c>
      <c r="D28" s="29">
        <v>10499.99</v>
      </c>
      <c r="F28" s="22" t="s">
        <v>28</v>
      </c>
      <c r="G28" s="6"/>
      <c r="H28" s="6"/>
      <c r="I28" s="22"/>
      <c r="J28" s="6"/>
      <c r="K28" s="6"/>
      <c r="L28" s="6"/>
      <c r="M28" s="6"/>
      <c r="N28" s="6"/>
      <c r="O28" s="6"/>
      <c r="P28" s="6"/>
      <c r="Q28" s="6"/>
      <c r="R28" s="6"/>
      <c r="S28" s="6"/>
      <c r="T28" s="22">
        <v>9230.77</v>
      </c>
      <c r="U28" s="6"/>
      <c r="V28" s="6"/>
      <c r="W28" s="102">
        <v>46380</v>
      </c>
      <c r="X28" s="104"/>
      <c r="Y28" s="117"/>
      <c r="Z28" s="112"/>
      <c r="AB28" t="s">
        <v>68</v>
      </c>
      <c r="AC28" s="46" t="s">
        <v>19</v>
      </c>
      <c r="AD28" s="22"/>
      <c r="AE28" s="6"/>
    </row>
    <row r="29" spans="1:31" ht="29.4" thickBot="1">
      <c r="A29" s="29">
        <v>7</v>
      </c>
      <c r="B29" s="29" t="s">
        <v>67</v>
      </c>
      <c r="C29" s="30" t="s">
        <v>35</v>
      </c>
      <c r="D29" s="29">
        <v>102088</v>
      </c>
      <c r="F29" s="50" t="s">
        <v>34</v>
      </c>
      <c r="G29" s="8">
        <f t="shared" ref="G29:S29" si="13">SUM(G23:G27)</f>
        <v>210669.83000000002</v>
      </c>
      <c r="H29" s="8">
        <f>SUM(H23:H27)</f>
        <v>20273</v>
      </c>
      <c r="I29" s="8">
        <f t="shared" si="13"/>
        <v>216000</v>
      </c>
      <c r="J29" s="8">
        <f t="shared" si="13"/>
        <v>17377</v>
      </c>
      <c r="K29" s="8">
        <f t="shared" si="13"/>
        <v>207927</v>
      </c>
      <c r="L29" s="8">
        <f t="shared" si="13"/>
        <v>12650</v>
      </c>
      <c r="M29" s="8"/>
      <c r="N29" s="8"/>
      <c r="O29" s="8">
        <f t="shared" si="13"/>
        <v>199210</v>
      </c>
      <c r="P29" s="8">
        <f t="shared" si="13"/>
        <v>19880</v>
      </c>
      <c r="Q29" s="8">
        <f t="shared" si="13"/>
        <v>323251</v>
      </c>
      <c r="R29" s="8">
        <f t="shared" si="13"/>
        <v>26508</v>
      </c>
      <c r="S29" s="8">
        <f t="shared" si="13"/>
        <v>224529.47</v>
      </c>
      <c r="T29" s="8">
        <f>SUM(T23:T28)</f>
        <v>213045.66999999998</v>
      </c>
      <c r="U29" s="8">
        <f>SUM(U23:U27)</f>
        <v>221668</v>
      </c>
      <c r="V29" s="8">
        <f>SUM(V23:V27)</f>
        <v>100297</v>
      </c>
      <c r="W29" s="103">
        <f>SUM(W23:W28)</f>
        <v>194140</v>
      </c>
      <c r="X29" s="113">
        <f>SUM(X23:X28)</f>
        <v>1300</v>
      </c>
      <c r="Y29" s="119"/>
      <c r="Z29" s="114">
        <f>SUM(Z23:Z28)</f>
        <v>0</v>
      </c>
      <c r="AC29" s="46" t="s">
        <v>20</v>
      </c>
      <c r="AD29" s="22"/>
      <c r="AE29" s="6"/>
    </row>
    <row r="30" spans="1:31" ht="28.8">
      <c r="A30" s="29">
        <v>8</v>
      </c>
      <c r="B30" s="29" t="s">
        <v>67</v>
      </c>
      <c r="C30" s="30" t="s">
        <v>69</v>
      </c>
      <c r="D30" s="29">
        <v>288587</v>
      </c>
      <c r="F30" s="54" t="s">
        <v>36</v>
      </c>
      <c r="G30" s="49">
        <v>210989</v>
      </c>
      <c r="H30" s="49">
        <v>23194</v>
      </c>
      <c r="I30" s="49">
        <v>200855</v>
      </c>
      <c r="J30" s="49">
        <v>19880</v>
      </c>
      <c r="K30" s="49">
        <v>199210</v>
      </c>
      <c r="L30" s="49">
        <v>19880</v>
      </c>
      <c r="M30" s="49"/>
      <c r="N30" s="49"/>
      <c r="O30" s="49">
        <v>199210</v>
      </c>
      <c r="P30" s="49">
        <v>19880</v>
      </c>
      <c r="Q30" s="49">
        <v>304290</v>
      </c>
      <c r="R30" s="49">
        <v>26508</v>
      </c>
      <c r="S30" s="49">
        <v>211507</v>
      </c>
      <c r="T30" s="49">
        <v>210959</v>
      </c>
      <c r="U30" s="49">
        <v>222091</v>
      </c>
      <c r="V30" s="49">
        <v>105435</v>
      </c>
      <c r="W30" s="28"/>
      <c r="X30" s="28"/>
      <c r="Y30" s="28"/>
      <c r="Z30" s="28"/>
      <c r="AA30" s="28"/>
      <c r="AC30" s="46" t="s">
        <v>21</v>
      </c>
      <c r="AD30" s="22"/>
      <c r="AE30" s="6"/>
    </row>
    <row r="31" spans="1:31">
      <c r="A31" s="29">
        <v>9</v>
      </c>
      <c r="B31" s="29" t="s">
        <v>67</v>
      </c>
      <c r="C31" s="30" t="s">
        <v>38</v>
      </c>
      <c r="D31" s="29">
        <v>22231</v>
      </c>
      <c r="F31" s="56" t="s">
        <v>103</v>
      </c>
      <c r="G31" s="64">
        <f>(G30-G29)</f>
        <v>319.1699999999837</v>
      </c>
      <c r="H31" s="64">
        <f>(H30-H29)</f>
        <v>2921</v>
      </c>
      <c r="I31" s="64">
        <f t="shared" ref="I31" si="14">(I30-I29)</f>
        <v>-15145</v>
      </c>
      <c r="J31" s="64">
        <f t="shared" ref="J31" si="15">(J30-J29)</f>
        <v>2503</v>
      </c>
      <c r="K31" s="64">
        <f t="shared" ref="K31" si="16">(K30-K29)</f>
        <v>-8717</v>
      </c>
      <c r="L31" s="64">
        <f>(L30-L29)</f>
        <v>7230</v>
      </c>
      <c r="M31" s="64"/>
      <c r="N31" s="64"/>
      <c r="O31" s="64">
        <f t="shared" ref="O31" si="17">(O30-O29)</f>
        <v>0</v>
      </c>
      <c r="P31" s="64">
        <f t="shared" ref="P31" si="18">(P30-P29)</f>
        <v>0</v>
      </c>
      <c r="Q31" s="64">
        <f t="shared" ref="Q31" si="19">(Q30-Q29)</f>
        <v>-18961</v>
      </c>
      <c r="R31" s="64">
        <f t="shared" ref="R31" si="20">(R30-R29)</f>
        <v>0</v>
      </c>
      <c r="S31" s="64">
        <f t="shared" ref="S31" si="21">(S30-S29)</f>
        <v>-13022.470000000001</v>
      </c>
      <c r="T31" s="64">
        <f t="shared" ref="T31" si="22">(T30-T29)</f>
        <v>-2086.6699999999837</v>
      </c>
      <c r="U31" s="64">
        <f t="shared" ref="U31" si="23">(U30-U29)</f>
        <v>423</v>
      </c>
      <c r="V31" s="64">
        <f t="shared" ref="V31" si="24">(V30-V29)</f>
        <v>5138</v>
      </c>
      <c r="W31" s="39"/>
      <c r="X31" s="39"/>
      <c r="Y31" s="39"/>
      <c r="Z31" s="39"/>
      <c r="AA31" s="39"/>
      <c r="AC31" s="46" t="s">
        <v>22</v>
      </c>
      <c r="AD31" s="22"/>
      <c r="AE31" s="6"/>
    </row>
    <row r="32" spans="1:31" ht="28.8">
      <c r="A32" s="29">
        <v>10</v>
      </c>
      <c r="B32" s="29" t="s">
        <v>67</v>
      </c>
      <c r="C32" s="30" t="s">
        <v>58</v>
      </c>
      <c r="D32" s="29">
        <v>28499.99</v>
      </c>
      <c r="F32" s="25" t="s">
        <v>4</v>
      </c>
      <c r="G32" s="25" t="s">
        <v>39</v>
      </c>
      <c r="H32" s="26" t="s">
        <v>40</v>
      </c>
      <c r="I32" s="26" t="s">
        <v>41</v>
      </c>
      <c r="J32" s="13" t="s">
        <v>42</v>
      </c>
      <c r="K32" s="13" t="s">
        <v>43</v>
      </c>
      <c r="L32" s="37" t="s">
        <v>44</v>
      </c>
      <c r="M32" s="13" t="s">
        <v>45</v>
      </c>
      <c r="N32" s="37" t="s">
        <v>46</v>
      </c>
      <c r="O32" s="37" t="s">
        <v>47</v>
      </c>
      <c r="P32" s="37" t="s">
        <v>48</v>
      </c>
      <c r="Q32" s="37" t="s">
        <v>49</v>
      </c>
      <c r="R32" s="37" t="s">
        <v>50</v>
      </c>
      <c r="S32" s="38" t="s">
        <v>51</v>
      </c>
      <c r="T32" s="40" t="s">
        <v>52</v>
      </c>
      <c r="U32" s="41"/>
      <c r="V32" s="41"/>
      <c r="W32" s="28"/>
      <c r="X32" s="41"/>
      <c r="Y32" s="41"/>
      <c r="Z32" s="28"/>
      <c r="AA32" s="28"/>
      <c r="AC32" s="80" t="s">
        <v>111</v>
      </c>
      <c r="AD32" s="83">
        <f>SUM(AD23:AD31)</f>
        <v>2000</v>
      </c>
      <c r="AE32" s="80"/>
    </row>
    <row r="33" spans="1:31">
      <c r="A33" s="29">
        <v>11</v>
      </c>
      <c r="B33" s="29" t="s">
        <v>67</v>
      </c>
      <c r="C33" s="30" t="s">
        <v>61</v>
      </c>
      <c r="D33" s="29">
        <v>37434.019999999997</v>
      </c>
      <c r="F33" s="22" t="s">
        <v>3</v>
      </c>
      <c r="G33" s="27">
        <v>45972</v>
      </c>
      <c r="H33" s="27">
        <v>45972</v>
      </c>
      <c r="I33" s="27">
        <v>45972</v>
      </c>
      <c r="J33" s="27">
        <v>45972</v>
      </c>
      <c r="K33" s="27">
        <v>45972</v>
      </c>
      <c r="L33" s="27">
        <v>45972</v>
      </c>
      <c r="M33" s="27">
        <v>45972</v>
      </c>
      <c r="N33" s="27">
        <v>45972</v>
      </c>
      <c r="O33" s="27">
        <v>45972</v>
      </c>
      <c r="P33" s="27">
        <v>45972</v>
      </c>
      <c r="Q33" s="27">
        <v>45972</v>
      </c>
      <c r="R33" s="27">
        <v>45972</v>
      </c>
      <c r="S33" s="27">
        <v>45972</v>
      </c>
      <c r="T33" s="27">
        <v>45972</v>
      </c>
      <c r="U33" s="42"/>
      <c r="V33" s="42"/>
      <c r="W33" s="42"/>
      <c r="X33" s="42"/>
      <c r="Y33" s="42"/>
      <c r="Z33" s="42"/>
      <c r="AA33" s="42"/>
    </row>
    <row r="34" spans="1:31" ht="15" thickBot="1">
      <c r="A34" s="29">
        <v>12</v>
      </c>
      <c r="B34" s="29" t="s">
        <v>67</v>
      </c>
      <c r="C34" s="30" t="s">
        <v>117</v>
      </c>
      <c r="D34" s="29">
        <v>93999.98</v>
      </c>
      <c r="F34" s="60" t="s">
        <v>60</v>
      </c>
      <c r="G34" s="58">
        <v>460500</v>
      </c>
      <c r="H34" s="59">
        <v>415871</v>
      </c>
      <c r="I34" s="59">
        <v>288594</v>
      </c>
      <c r="J34" s="59">
        <v>159778</v>
      </c>
      <c r="K34" s="59">
        <v>101988</v>
      </c>
      <c r="L34" s="59">
        <v>22231</v>
      </c>
      <c r="M34" s="59">
        <v>10500</v>
      </c>
      <c r="N34" s="59">
        <v>8750</v>
      </c>
      <c r="O34" s="60">
        <v>21800</v>
      </c>
      <c r="P34" s="58">
        <v>28500</v>
      </c>
      <c r="Q34" s="59">
        <v>0</v>
      </c>
      <c r="R34" s="59">
        <v>37434</v>
      </c>
      <c r="S34" s="59">
        <v>255670</v>
      </c>
      <c r="T34" s="59">
        <v>2530</v>
      </c>
      <c r="U34" s="28"/>
      <c r="V34" s="28"/>
      <c r="W34" s="28"/>
      <c r="X34" s="28"/>
      <c r="Y34" s="28"/>
      <c r="Z34" s="28"/>
      <c r="AA34" s="28"/>
    </row>
    <row r="35" spans="1:31" ht="43.8" thickBot="1">
      <c r="A35" s="29">
        <v>13</v>
      </c>
      <c r="B35" s="29" t="s">
        <v>67</v>
      </c>
      <c r="C35" s="30" t="s">
        <v>118</v>
      </c>
      <c r="D35" s="29">
        <v>255673</v>
      </c>
      <c r="F35" s="51" t="s">
        <v>100</v>
      </c>
      <c r="G35" s="48">
        <f>SUM(G30:V30)</f>
        <v>1973888</v>
      </c>
      <c r="I35" s="52" t="s">
        <v>34</v>
      </c>
      <c r="J35" s="24">
        <f>SUM(G29:V29)-AD32</f>
        <v>2011285.97</v>
      </c>
      <c r="L35" s="86" t="s">
        <v>89</v>
      </c>
      <c r="M35" s="87">
        <f>(G35-J35)</f>
        <v>-37397.969999999972</v>
      </c>
      <c r="O35" s="53" t="s">
        <v>114</v>
      </c>
      <c r="P35" s="57">
        <f>SUM(G34:T34)</f>
        <v>1814146</v>
      </c>
      <c r="Q35" s="28"/>
      <c r="R35" s="61" t="s">
        <v>101</v>
      </c>
      <c r="S35" s="62">
        <f>SUM(X29:Z29)</f>
        <v>1300</v>
      </c>
      <c r="T35" s="43"/>
    </row>
    <row r="36" spans="1:31">
      <c r="A36" s="29">
        <v>14</v>
      </c>
      <c r="B36" s="29" t="s">
        <v>67</v>
      </c>
      <c r="C36" s="30" t="s">
        <v>70</v>
      </c>
      <c r="D36" s="29">
        <v>45175</v>
      </c>
    </row>
    <row r="37" spans="1:31" ht="15" thickBot="1">
      <c r="A37" s="121" t="s">
        <v>71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8"/>
      <c r="V37" s="18"/>
      <c r="W37" s="18"/>
      <c r="X37" s="108"/>
      <c r="Y37" s="108"/>
      <c r="Z37" s="109"/>
      <c r="AA37" s="42"/>
    </row>
    <row r="38" spans="1:31" ht="15" thickBot="1">
      <c r="A38" s="19" t="s">
        <v>2</v>
      </c>
      <c r="B38" s="19" t="s">
        <v>3</v>
      </c>
      <c r="C38" s="19" t="s">
        <v>4</v>
      </c>
      <c r="D38" s="19" t="s">
        <v>5</v>
      </c>
      <c r="F38" s="12" t="s">
        <v>6</v>
      </c>
      <c r="G38" s="12" t="s">
        <v>7</v>
      </c>
      <c r="H38" s="12" t="s">
        <v>8</v>
      </c>
      <c r="I38" s="13" t="s">
        <v>9</v>
      </c>
      <c r="J38" s="13" t="s">
        <v>10</v>
      </c>
      <c r="K38" s="13" t="s">
        <v>11</v>
      </c>
      <c r="L38" s="13" t="s">
        <v>12</v>
      </c>
      <c r="M38" s="13" t="s">
        <v>13</v>
      </c>
      <c r="N38" s="13" t="s">
        <v>14</v>
      </c>
      <c r="O38" s="13" t="s">
        <v>15</v>
      </c>
      <c r="P38" s="13" t="s">
        <v>16</v>
      </c>
      <c r="Q38" s="13" t="s">
        <v>17</v>
      </c>
      <c r="R38" s="13" t="s">
        <v>18</v>
      </c>
      <c r="S38" s="13" t="s">
        <v>19</v>
      </c>
      <c r="T38" s="13" t="s">
        <v>20</v>
      </c>
      <c r="U38" s="13" t="s">
        <v>21</v>
      </c>
      <c r="V38" s="13" t="s">
        <v>22</v>
      </c>
      <c r="W38" s="100" t="s">
        <v>25</v>
      </c>
      <c r="X38" s="61" t="s">
        <v>23</v>
      </c>
      <c r="Y38" s="116" t="s">
        <v>128</v>
      </c>
      <c r="Z38" s="91" t="s">
        <v>72</v>
      </c>
      <c r="AA38" s="42"/>
      <c r="AC38" s="63" t="s">
        <v>98</v>
      </c>
      <c r="AD38" s="63" t="s">
        <v>97</v>
      </c>
      <c r="AE38" s="63" t="s">
        <v>109</v>
      </c>
    </row>
    <row r="39" spans="1:31">
      <c r="A39" s="31">
        <v>1</v>
      </c>
      <c r="B39" s="31" t="s">
        <v>73</v>
      </c>
      <c r="C39" s="32" t="s">
        <v>27</v>
      </c>
      <c r="D39" s="31">
        <v>137274</v>
      </c>
      <c r="F39" s="22" t="s">
        <v>28</v>
      </c>
      <c r="G39" s="22">
        <v>158774</v>
      </c>
      <c r="H39" s="23">
        <v>19433</v>
      </c>
      <c r="I39" s="22">
        <v>38382.75</v>
      </c>
      <c r="J39" s="23">
        <v>16658</v>
      </c>
      <c r="K39" s="22">
        <v>190914</v>
      </c>
      <c r="L39" s="22">
        <f>SUM(M39:N39)</f>
        <v>2776</v>
      </c>
      <c r="M39" s="22"/>
      <c r="N39" s="23">
        <v>2776</v>
      </c>
      <c r="O39" s="22">
        <v>60000</v>
      </c>
      <c r="P39" s="36">
        <v>16658</v>
      </c>
      <c r="Q39" s="22">
        <v>221508</v>
      </c>
      <c r="R39" s="36">
        <v>11152</v>
      </c>
      <c r="S39" s="22">
        <v>154342</v>
      </c>
      <c r="T39" s="22">
        <v>155059</v>
      </c>
      <c r="U39" s="22">
        <v>209508</v>
      </c>
      <c r="V39" s="22">
        <v>94770</v>
      </c>
      <c r="W39" s="102">
        <v>35000</v>
      </c>
      <c r="X39" s="104"/>
      <c r="Y39" s="117">
        <v>9000</v>
      </c>
      <c r="Z39" s="105">
        <v>10000</v>
      </c>
      <c r="AA39" s="42"/>
      <c r="AB39" s="44" t="s">
        <v>95</v>
      </c>
      <c r="AC39" s="46" t="s">
        <v>7</v>
      </c>
      <c r="AD39" s="67"/>
      <c r="AE39" s="67"/>
    </row>
    <row r="40" spans="1:31">
      <c r="A40" s="31">
        <v>2</v>
      </c>
      <c r="B40" s="31" t="s">
        <v>73</v>
      </c>
      <c r="C40" s="32" t="s">
        <v>29</v>
      </c>
      <c r="D40" s="31">
        <v>435219.01</v>
      </c>
      <c r="F40" s="22" t="s">
        <v>28</v>
      </c>
      <c r="G40" s="22">
        <v>46830.67</v>
      </c>
      <c r="H40" s="22"/>
      <c r="I40" s="22">
        <v>149366</v>
      </c>
      <c r="J40" s="22"/>
      <c r="K40" s="22"/>
      <c r="L40" s="22"/>
      <c r="M40" s="22"/>
      <c r="N40" s="22"/>
      <c r="O40" s="22">
        <v>45000</v>
      </c>
      <c r="P40" s="6"/>
      <c r="Q40" s="22">
        <v>67391</v>
      </c>
      <c r="R40" s="22"/>
      <c r="S40" s="22">
        <v>44369.279999999999</v>
      </c>
      <c r="T40" s="22">
        <v>44369.279999999999</v>
      </c>
      <c r="U40" s="22"/>
      <c r="V40" s="22"/>
      <c r="W40" s="102">
        <v>800</v>
      </c>
      <c r="X40" s="104"/>
      <c r="Y40" s="117">
        <v>3000</v>
      </c>
      <c r="Z40" s="105"/>
      <c r="AA40" s="42"/>
      <c r="AB40" s="45" t="s">
        <v>96</v>
      </c>
      <c r="AC40" s="46" t="s">
        <v>9</v>
      </c>
      <c r="AD40" s="77"/>
      <c r="AE40" s="77"/>
    </row>
    <row r="41" spans="1:31">
      <c r="A41" s="31">
        <v>3</v>
      </c>
      <c r="B41" s="31" t="s">
        <v>73</v>
      </c>
      <c r="C41" s="32" t="s">
        <v>30</v>
      </c>
      <c r="D41" s="31">
        <v>451499.99</v>
      </c>
      <c r="F41" s="22" t="s">
        <v>28</v>
      </c>
      <c r="G41" s="22"/>
      <c r="H41" s="22"/>
      <c r="I41" s="22">
        <v>5419.35</v>
      </c>
      <c r="J41" s="22"/>
      <c r="K41" s="22"/>
      <c r="L41" s="22"/>
      <c r="M41" s="22"/>
      <c r="N41" s="22"/>
      <c r="O41" s="22">
        <v>40000</v>
      </c>
      <c r="P41" s="22"/>
      <c r="Q41" s="22"/>
      <c r="R41" s="22"/>
      <c r="S41" s="22"/>
      <c r="T41" s="22"/>
      <c r="U41" s="22"/>
      <c r="V41" s="22"/>
      <c r="W41" s="102">
        <v>1500</v>
      </c>
      <c r="X41" s="104"/>
      <c r="Y41" s="117"/>
      <c r="Z41" s="105"/>
      <c r="AA41" s="42"/>
      <c r="AC41" s="46" t="s">
        <v>11</v>
      </c>
      <c r="AD41" s="67"/>
      <c r="AE41" s="67"/>
    </row>
    <row r="42" spans="1:31">
      <c r="A42" s="31">
        <v>4</v>
      </c>
      <c r="B42" s="31" t="s">
        <v>73</v>
      </c>
      <c r="C42" s="32" t="s">
        <v>31</v>
      </c>
      <c r="D42" s="31">
        <v>8435.01</v>
      </c>
      <c r="F42" s="22" t="s">
        <v>28</v>
      </c>
      <c r="G42" s="6"/>
      <c r="H42" s="6"/>
      <c r="I42" s="22">
        <v>3028.57</v>
      </c>
      <c r="J42" s="6"/>
      <c r="K42" s="6"/>
      <c r="L42" s="6"/>
      <c r="M42" s="6"/>
      <c r="N42" s="6"/>
      <c r="O42" s="22">
        <v>50000</v>
      </c>
      <c r="P42" s="6"/>
      <c r="Q42" s="6"/>
      <c r="R42" s="6"/>
      <c r="S42" s="6"/>
      <c r="T42" s="22"/>
      <c r="U42" s="6"/>
      <c r="V42" s="6"/>
      <c r="W42" s="102">
        <v>1570</v>
      </c>
      <c r="X42" s="104"/>
      <c r="Y42" s="117"/>
      <c r="Z42" s="105"/>
      <c r="AA42" s="42"/>
      <c r="AC42" s="46" t="s">
        <v>15</v>
      </c>
      <c r="AD42" s="77"/>
      <c r="AE42" s="77"/>
    </row>
    <row r="43" spans="1:31">
      <c r="A43" s="31">
        <v>5</v>
      </c>
      <c r="B43" s="31" t="s">
        <v>73</v>
      </c>
      <c r="C43" s="32" t="s">
        <v>32</v>
      </c>
      <c r="D43" s="31">
        <v>21800</v>
      </c>
      <c r="F43" s="22" t="s">
        <v>28</v>
      </c>
      <c r="G43" s="6"/>
      <c r="H43" s="6"/>
      <c r="I43" s="22"/>
      <c r="J43" s="6"/>
      <c r="K43" s="6"/>
      <c r="L43" s="6"/>
      <c r="M43" s="6"/>
      <c r="N43" s="6"/>
      <c r="O43" s="22"/>
      <c r="P43" s="6"/>
      <c r="Q43" s="6"/>
      <c r="R43" s="6"/>
      <c r="S43" s="6"/>
      <c r="T43" s="22"/>
      <c r="U43" s="6"/>
      <c r="V43" s="6"/>
      <c r="W43" s="101">
        <v>25000</v>
      </c>
      <c r="X43" s="104"/>
      <c r="Y43" s="117"/>
      <c r="Z43" s="105"/>
      <c r="AA43" s="42"/>
      <c r="AC43" s="46" t="s">
        <v>17</v>
      </c>
      <c r="AD43" s="78"/>
      <c r="AE43" s="78"/>
    </row>
    <row r="44" spans="1:31" ht="15" thickBot="1">
      <c r="A44" s="31">
        <v>6</v>
      </c>
      <c r="B44" s="31" t="s">
        <v>73</v>
      </c>
      <c r="C44" s="32" t="s">
        <v>33</v>
      </c>
      <c r="D44" s="31">
        <v>10499.99</v>
      </c>
      <c r="F44" s="22" t="s">
        <v>28</v>
      </c>
      <c r="G44" s="6"/>
      <c r="H44" s="6"/>
      <c r="I44" s="22"/>
      <c r="J44" s="6"/>
      <c r="K44" s="6"/>
      <c r="L44" s="6"/>
      <c r="M44" s="6"/>
      <c r="N44" s="6"/>
      <c r="O44" s="22"/>
      <c r="P44" s="6"/>
      <c r="Q44" s="6"/>
      <c r="R44" s="6"/>
      <c r="S44" s="6"/>
      <c r="T44" s="22"/>
      <c r="U44" s="6"/>
      <c r="V44" s="6"/>
      <c r="W44" s="101">
        <v>2810</v>
      </c>
      <c r="X44" s="104"/>
      <c r="Y44" s="117"/>
      <c r="Z44" s="105"/>
      <c r="AA44" s="42"/>
      <c r="AC44" s="46" t="s">
        <v>19</v>
      </c>
      <c r="AD44" s="67"/>
      <c r="AE44" s="67"/>
    </row>
    <row r="45" spans="1:31" ht="29.4" thickBot="1">
      <c r="A45" s="31">
        <v>7</v>
      </c>
      <c r="B45" s="31" t="s">
        <v>73</v>
      </c>
      <c r="C45" s="32" t="s">
        <v>35</v>
      </c>
      <c r="D45" s="31">
        <v>102187.99</v>
      </c>
      <c r="F45" s="50" t="s">
        <v>34</v>
      </c>
      <c r="G45" s="8">
        <f t="shared" ref="G45:S45" si="25">SUM(G39:G43)</f>
        <v>205604.66999999998</v>
      </c>
      <c r="H45" s="8">
        <f t="shared" si="25"/>
        <v>19433</v>
      </c>
      <c r="I45" s="8">
        <f>SUM(I39:I43)</f>
        <v>196196.67</v>
      </c>
      <c r="J45" s="8">
        <f>SUM(J39:J44)</f>
        <v>16658</v>
      </c>
      <c r="K45" s="8">
        <f t="shared" si="25"/>
        <v>190914</v>
      </c>
      <c r="L45" s="8">
        <f t="shared" si="25"/>
        <v>2776</v>
      </c>
      <c r="M45" s="8"/>
      <c r="N45" s="8"/>
      <c r="O45" s="8">
        <f t="shared" si="25"/>
        <v>195000</v>
      </c>
      <c r="P45" s="8">
        <f t="shared" si="25"/>
        <v>16658</v>
      </c>
      <c r="Q45" s="8">
        <f t="shared" si="25"/>
        <v>288899</v>
      </c>
      <c r="R45" s="8">
        <f t="shared" si="25"/>
        <v>11152</v>
      </c>
      <c r="S45" s="8">
        <f t="shared" si="25"/>
        <v>198711.28</v>
      </c>
      <c r="T45" s="8">
        <f>SUM(T39:T44)</f>
        <v>199428.28</v>
      </c>
      <c r="U45" s="8">
        <f>SUM(U39:U43)</f>
        <v>209508</v>
      </c>
      <c r="V45" s="8">
        <f>SUM(V39:V43)</f>
        <v>94770</v>
      </c>
      <c r="W45" s="103">
        <f>SUM(W39:W44)</f>
        <v>66680</v>
      </c>
      <c r="X45" s="110">
        <f>SUM(X39:X43)</f>
        <v>0</v>
      </c>
      <c r="Y45" s="110">
        <f>SUM(Y39:Y43)</f>
        <v>12000</v>
      </c>
      <c r="Z45" s="111">
        <f>SUM(Z39:Z43)</f>
        <v>10000</v>
      </c>
      <c r="AA45" s="42"/>
      <c r="AC45" s="46" t="s">
        <v>20</v>
      </c>
      <c r="AD45" s="67"/>
      <c r="AE45" s="67"/>
    </row>
    <row r="46" spans="1:31" ht="43.2">
      <c r="A46" s="31">
        <v>8</v>
      </c>
      <c r="B46" s="31" t="s">
        <v>73</v>
      </c>
      <c r="C46" s="32" t="s">
        <v>37</v>
      </c>
      <c r="D46" s="31">
        <v>237511</v>
      </c>
      <c r="F46" s="54" t="s">
        <v>100</v>
      </c>
      <c r="G46" s="49">
        <v>205605.13</v>
      </c>
      <c r="H46" s="49">
        <v>19433</v>
      </c>
      <c r="I46" s="49">
        <v>196196.55</v>
      </c>
      <c r="J46" s="49">
        <v>16658</v>
      </c>
      <c r="K46" s="49">
        <v>195914</v>
      </c>
      <c r="L46" s="49">
        <v>16658</v>
      </c>
      <c r="M46" s="49"/>
      <c r="N46" s="49"/>
      <c r="O46" s="49">
        <v>195064</v>
      </c>
      <c r="P46" s="49">
        <v>16658</v>
      </c>
      <c r="Q46" s="49">
        <v>294426</v>
      </c>
      <c r="R46" s="49">
        <v>22209</v>
      </c>
      <c r="S46" s="49">
        <v>198711.28</v>
      </c>
      <c r="T46" s="49">
        <v>199428.28</v>
      </c>
      <c r="U46" s="49">
        <v>209508.89</v>
      </c>
      <c r="V46" s="49">
        <v>94770.49</v>
      </c>
      <c r="W46" s="28"/>
      <c r="X46" s="28"/>
      <c r="Y46" s="28"/>
      <c r="Z46" s="28"/>
      <c r="AA46" s="28"/>
      <c r="AC46" s="46" t="s">
        <v>21</v>
      </c>
      <c r="AD46" s="67"/>
      <c r="AE46" s="67"/>
    </row>
    <row r="47" spans="1:31" ht="21" customHeight="1">
      <c r="A47" s="31">
        <v>9</v>
      </c>
      <c r="B47" s="31" t="s">
        <v>73</v>
      </c>
      <c r="C47" s="32" t="s">
        <v>38</v>
      </c>
      <c r="D47" s="31">
        <v>21027.01</v>
      </c>
      <c r="F47" s="56" t="s">
        <v>103</v>
      </c>
      <c r="G47" s="64">
        <f>(G46-G45)</f>
        <v>0.46000000002095476</v>
      </c>
      <c r="H47" s="64">
        <f t="shared" ref="H47:V47" si="26">(H46-H45)</f>
        <v>0</v>
      </c>
      <c r="I47" s="64">
        <f t="shared" si="26"/>
        <v>-0.12000000002444722</v>
      </c>
      <c r="J47" s="64">
        <f t="shared" si="26"/>
        <v>0</v>
      </c>
      <c r="K47" s="64">
        <f t="shared" si="26"/>
        <v>5000</v>
      </c>
      <c r="L47" s="64">
        <f t="shared" si="26"/>
        <v>13882</v>
      </c>
      <c r="M47" s="64"/>
      <c r="N47" s="64"/>
      <c r="O47" s="64">
        <f t="shared" si="26"/>
        <v>64</v>
      </c>
      <c r="P47" s="64">
        <f t="shared" si="26"/>
        <v>0</v>
      </c>
      <c r="Q47" s="64">
        <f t="shared" si="26"/>
        <v>5527</v>
      </c>
      <c r="R47" s="64">
        <f t="shared" si="26"/>
        <v>11057</v>
      </c>
      <c r="S47" s="64">
        <f t="shared" si="26"/>
        <v>0</v>
      </c>
      <c r="T47" s="64">
        <f t="shared" si="26"/>
        <v>0</v>
      </c>
      <c r="U47" s="64">
        <f t="shared" si="26"/>
        <v>0.89000000001396984</v>
      </c>
      <c r="V47" s="64">
        <f t="shared" si="26"/>
        <v>0.49000000000523869</v>
      </c>
      <c r="W47" s="39"/>
      <c r="X47" s="39"/>
      <c r="Y47" s="39"/>
      <c r="Z47" s="39"/>
      <c r="AA47" s="39"/>
      <c r="AC47" s="46" t="s">
        <v>22</v>
      </c>
      <c r="AD47" s="67"/>
      <c r="AE47" s="67"/>
    </row>
    <row r="48" spans="1:31" ht="28.8">
      <c r="A48" s="31">
        <v>10</v>
      </c>
      <c r="B48" s="31" t="s">
        <v>73</v>
      </c>
      <c r="C48" s="32" t="s">
        <v>58</v>
      </c>
      <c r="D48" s="31">
        <v>0</v>
      </c>
      <c r="F48" s="25" t="s">
        <v>4</v>
      </c>
      <c r="G48" s="25" t="s">
        <v>39</v>
      </c>
      <c r="H48" s="26" t="s">
        <v>40</v>
      </c>
      <c r="I48" s="26" t="s">
        <v>41</v>
      </c>
      <c r="J48" s="26" t="s">
        <v>42</v>
      </c>
      <c r="K48" s="26" t="s">
        <v>43</v>
      </c>
      <c r="L48" s="38" t="s">
        <v>44</v>
      </c>
      <c r="M48" s="26" t="s">
        <v>45</v>
      </c>
      <c r="N48" s="38" t="s">
        <v>46</v>
      </c>
      <c r="O48" s="38" t="s">
        <v>47</v>
      </c>
      <c r="P48" s="38" t="s">
        <v>48</v>
      </c>
      <c r="Q48" s="38" t="s">
        <v>49</v>
      </c>
      <c r="R48" s="38" t="s">
        <v>50</v>
      </c>
      <c r="S48" s="38" t="s">
        <v>51</v>
      </c>
      <c r="T48" s="55" t="s">
        <v>52</v>
      </c>
      <c r="U48" s="55" t="s">
        <v>74</v>
      </c>
      <c r="V48" s="55" t="s">
        <v>75</v>
      </c>
      <c r="W48" s="41"/>
      <c r="X48" s="41"/>
      <c r="Y48" s="41"/>
      <c r="Z48" s="41"/>
      <c r="AA48" s="41"/>
      <c r="AC48" s="80" t="s">
        <v>111</v>
      </c>
      <c r="AD48" s="83">
        <f>SUM(AD39:AD47)</f>
        <v>0</v>
      </c>
      <c r="AE48" s="80"/>
    </row>
    <row r="49" spans="1:31">
      <c r="A49" s="31">
        <v>11</v>
      </c>
      <c r="B49" s="31" t="s">
        <v>73</v>
      </c>
      <c r="C49" s="32" t="s">
        <v>61</v>
      </c>
      <c r="D49" s="31">
        <v>0</v>
      </c>
      <c r="F49" s="22" t="s">
        <v>3</v>
      </c>
      <c r="G49" s="27">
        <v>46003</v>
      </c>
      <c r="H49" s="27">
        <v>46003</v>
      </c>
      <c r="I49" s="27">
        <v>46003</v>
      </c>
      <c r="J49" s="27">
        <v>46003</v>
      </c>
      <c r="K49" s="27">
        <v>46003</v>
      </c>
      <c r="L49" s="27">
        <v>46003</v>
      </c>
      <c r="M49" s="27">
        <v>46003</v>
      </c>
      <c r="N49" s="27">
        <v>46003</v>
      </c>
      <c r="O49" s="27">
        <v>46003</v>
      </c>
      <c r="P49" s="27">
        <v>46003</v>
      </c>
      <c r="Q49" s="27">
        <v>46003</v>
      </c>
      <c r="R49" s="27">
        <v>46003</v>
      </c>
      <c r="S49" s="27">
        <v>46003</v>
      </c>
      <c r="T49" s="27">
        <v>46003</v>
      </c>
      <c r="U49" s="27">
        <v>46007</v>
      </c>
      <c r="V49" s="27">
        <v>46007</v>
      </c>
      <c r="W49" s="42"/>
      <c r="X49" s="42"/>
      <c r="Y49" s="42"/>
      <c r="Z49" s="42"/>
      <c r="AA49" s="42"/>
    </row>
    <row r="50" spans="1:31" ht="15" thickBot="1">
      <c r="A50" s="31">
        <v>12</v>
      </c>
      <c r="B50" s="31" t="s">
        <v>73</v>
      </c>
      <c r="C50" s="32" t="s">
        <v>119</v>
      </c>
      <c r="D50" s="31">
        <v>79220.009999999995</v>
      </c>
      <c r="F50" s="60" t="s">
        <v>60</v>
      </c>
      <c r="G50" s="58">
        <v>451500</v>
      </c>
      <c r="H50" s="59">
        <v>435219</v>
      </c>
      <c r="I50" s="59">
        <v>237511</v>
      </c>
      <c r="J50" s="59">
        <v>131274</v>
      </c>
      <c r="K50" s="59">
        <v>102188</v>
      </c>
      <c r="L50" s="59">
        <v>21027</v>
      </c>
      <c r="M50" s="59">
        <v>10500</v>
      </c>
      <c r="N50" s="59">
        <v>8435</v>
      </c>
      <c r="O50" s="59">
        <v>21800</v>
      </c>
      <c r="P50" s="59">
        <v>0</v>
      </c>
      <c r="Q50" s="59">
        <v>0</v>
      </c>
      <c r="R50" s="59">
        <v>0</v>
      </c>
      <c r="S50" s="59">
        <v>291564</v>
      </c>
      <c r="T50" s="59">
        <v>79220</v>
      </c>
      <c r="U50" s="59">
        <v>24877</v>
      </c>
      <c r="V50" s="59">
        <v>27096</v>
      </c>
      <c r="W50" s="28"/>
      <c r="X50" s="28"/>
      <c r="Y50" s="28"/>
      <c r="Z50" s="28"/>
      <c r="AA50" s="28"/>
    </row>
    <row r="51" spans="1:31" ht="43.8" thickBot="1">
      <c r="A51" s="31">
        <v>13</v>
      </c>
      <c r="B51" s="31" t="s">
        <v>73</v>
      </c>
      <c r="C51" s="32" t="s">
        <v>120</v>
      </c>
      <c r="D51" s="31">
        <v>291564</v>
      </c>
      <c r="F51" s="51" t="s">
        <v>100</v>
      </c>
      <c r="G51" s="48">
        <f>SUM(G46:V46)</f>
        <v>1881240.6199999999</v>
      </c>
      <c r="I51" s="52" t="s">
        <v>34</v>
      </c>
      <c r="J51" s="24">
        <f>SUM(G45:V45)-AD48</f>
        <v>1845708.9</v>
      </c>
      <c r="L51" s="86" t="s">
        <v>89</v>
      </c>
      <c r="M51" s="87">
        <f>(G51-J51)</f>
        <v>35531.719999999972</v>
      </c>
      <c r="O51" s="53" t="s">
        <v>102</v>
      </c>
      <c r="P51" s="57">
        <f>SUM(G50:V50)</f>
        <v>1842211</v>
      </c>
      <c r="Q51" s="28"/>
      <c r="R51" s="61" t="s">
        <v>101</v>
      </c>
      <c r="S51" s="62">
        <f>SUM(X45:Z45)</f>
        <v>22000</v>
      </c>
      <c r="T51" s="43"/>
      <c r="U51" s="28"/>
      <c r="V51" s="28"/>
    </row>
    <row r="52" spans="1:31">
      <c r="A52" s="31">
        <v>14</v>
      </c>
      <c r="B52" s="31" t="s">
        <v>73</v>
      </c>
      <c r="C52" s="32" t="s">
        <v>76</v>
      </c>
      <c r="D52" s="31">
        <v>29999.98</v>
      </c>
    </row>
    <row r="53" spans="1:31">
      <c r="A53" s="31">
        <v>15</v>
      </c>
      <c r="B53" s="31" t="s">
        <v>73</v>
      </c>
      <c r="C53" s="32" t="s">
        <v>77</v>
      </c>
      <c r="D53" s="31">
        <v>26500</v>
      </c>
    </row>
    <row r="54" spans="1:31" ht="15" thickBot="1">
      <c r="A54" s="121" t="s">
        <v>78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8"/>
      <c r="V54" s="18"/>
      <c r="W54" s="18"/>
      <c r="X54" s="108"/>
      <c r="Y54" s="108"/>
      <c r="Z54" s="109"/>
    </row>
    <row r="55" spans="1:31" ht="15" thickBot="1">
      <c r="A55" s="19" t="s">
        <v>2</v>
      </c>
      <c r="B55" s="19" t="s">
        <v>3</v>
      </c>
      <c r="C55" s="19" t="s">
        <v>4</v>
      </c>
      <c r="D55" s="19" t="s">
        <v>5</v>
      </c>
      <c r="F55" s="12" t="s">
        <v>6</v>
      </c>
      <c r="G55" s="12" t="s">
        <v>7</v>
      </c>
      <c r="H55" s="12" t="s">
        <v>8</v>
      </c>
      <c r="I55" s="13" t="s">
        <v>9</v>
      </c>
      <c r="J55" s="13" t="s">
        <v>10</v>
      </c>
      <c r="K55" s="13" t="s">
        <v>11</v>
      </c>
      <c r="L55" s="13" t="s">
        <v>12</v>
      </c>
      <c r="M55" s="13" t="s">
        <v>13</v>
      </c>
      <c r="N55" s="13" t="s">
        <v>14</v>
      </c>
      <c r="O55" s="13" t="s">
        <v>15</v>
      </c>
      <c r="P55" s="13" t="s">
        <v>16</v>
      </c>
      <c r="Q55" s="13" t="s">
        <v>17</v>
      </c>
      <c r="R55" s="13" t="s">
        <v>18</v>
      </c>
      <c r="S55" s="13" t="s">
        <v>19</v>
      </c>
      <c r="T55" s="13" t="s">
        <v>20</v>
      </c>
      <c r="U55" s="13" t="s">
        <v>21</v>
      </c>
      <c r="V55" s="13" t="s">
        <v>22</v>
      </c>
      <c r="W55" s="100" t="s">
        <v>25</v>
      </c>
      <c r="X55" s="61" t="s">
        <v>23</v>
      </c>
      <c r="Y55" s="116" t="s">
        <v>128</v>
      </c>
      <c r="Z55" s="91" t="s">
        <v>72</v>
      </c>
      <c r="AC55" s="63" t="s">
        <v>98</v>
      </c>
      <c r="AD55" s="63" t="s">
        <v>97</v>
      </c>
      <c r="AE55" s="63" t="s">
        <v>109</v>
      </c>
    </row>
    <row r="56" spans="1:31">
      <c r="A56" s="33">
        <v>1</v>
      </c>
      <c r="B56" s="34">
        <v>46022</v>
      </c>
      <c r="C56" s="35" t="s">
        <v>27</v>
      </c>
      <c r="D56" s="33">
        <v>113991</v>
      </c>
      <c r="F56" s="22" t="s">
        <v>28</v>
      </c>
      <c r="G56" s="22">
        <v>162969</v>
      </c>
      <c r="H56" s="23">
        <v>20304.48</v>
      </c>
      <c r="I56" s="22">
        <v>162188</v>
      </c>
      <c r="J56" s="23">
        <v>17404.13</v>
      </c>
      <c r="K56" s="22">
        <v>165428</v>
      </c>
      <c r="L56" s="22">
        <f>SUM(M56:N56)</f>
        <v>17403.68</v>
      </c>
      <c r="M56" s="22">
        <v>14503</v>
      </c>
      <c r="N56" s="23">
        <v>2900.68</v>
      </c>
      <c r="O56" s="22">
        <v>150266</v>
      </c>
      <c r="P56" s="22">
        <v>17165</v>
      </c>
      <c r="Q56" s="22">
        <v>10786</v>
      </c>
      <c r="R56" s="22">
        <v>23205</v>
      </c>
      <c r="S56" s="22">
        <v>174773.29</v>
      </c>
      <c r="T56" s="22">
        <v>174773.29</v>
      </c>
      <c r="U56" s="22">
        <v>7525</v>
      </c>
      <c r="V56" s="22">
        <v>86900.63</v>
      </c>
      <c r="W56" s="102">
        <v>40610</v>
      </c>
      <c r="X56" s="104"/>
      <c r="Y56" s="117">
        <v>2800</v>
      </c>
      <c r="Z56" s="105">
        <v>5600</v>
      </c>
      <c r="AB56" s="44" t="s">
        <v>95</v>
      </c>
      <c r="AC56" s="46" t="s">
        <v>7</v>
      </c>
      <c r="AD56" s="22"/>
      <c r="AE56" s="67"/>
    </row>
    <row r="57" spans="1:31">
      <c r="A57" s="33">
        <v>2</v>
      </c>
      <c r="B57" s="34">
        <v>46022</v>
      </c>
      <c r="C57" s="35" t="s">
        <v>29</v>
      </c>
      <c r="D57" s="33">
        <v>440162</v>
      </c>
      <c r="F57" s="22" t="s">
        <v>28</v>
      </c>
      <c r="G57" s="22">
        <v>50725</v>
      </c>
      <c r="H57" s="23">
        <v>2831</v>
      </c>
      <c r="I57" s="22">
        <v>39568</v>
      </c>
      <c r="J57" s="23">
        <v>2427</v>
      </c>
      <c r="K57" s="22">
        <v>39567.79</v>
      </c>
      <c r="L57" s="22">
        <f>SUM(M57:N57)</f>
        <v>405</v>
      </c>
      <c r="M57" s="22"/>
      <c r="N57" s="23">
        <v>405</v>
      </c>
      <c r="O57" s="22">
        <v>39568</v>
      </c>
      <c r="P57" s="22">
        <v>2427</v>
      </c>
      <c r="Q57" s="22">
        <v>233955</v>
      </c>
      <c r="R57" s="22"/>
      <c r="S57" s="22">
        <v>41198.54</v>
      </c>
      <c r="T57" s="22">
        <v>42394</v>
      </c>
      <c r="U57" s="22">
        <v>176722.71</v>
      </c>
      <c r="V57" s="22">
        <v>5220.59</v>
      </c>
      <c r="W57" s="102">
        <v>5663</v>
      </c>
      <c r="X57" s="104"/>
      <c r="Y57" s="117"/>
      <c r="Z57" s="105"/>
      <c r="AB57" s="45" t="s">
        <v>96</v>
      </c>
      <c r="AC57" s="46" t="s">
        <v>9</v>
      </c>
      <c r="AD57" s="81">
        <v>3239</v>
      </c>
      <c r="AE57" s="77" t="s">
        <v>108</v>
      </c>
    </row>
    <row r="58" spans="1:31">
      <c r="A58" s="33">
        <v>3</v>
      </c>
      <c r="B58" s="34">
        <v>46022</v>
      </c>
      <c r="C58" s="35" t="s">
        <v>30</v>
      </c>
      <c r="D58" s="33">
        <v>510749.98</v>
      </c>
      <c r="F58" s="22" t="s">
        <v>28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>
        <v>60765</v>
      </c>
      <c r="R58" s="22"/>
      <c r="S58" s="22"/>
      <c r="T58" s="22"/>
      <c r="U58" s="22">
        <v>42394</v>
      </c>
      <c r="V58" s="22">
        <v>11123</v>
      </c>
      <c r="W58" s="115"/>
      <c r="X58" s="104"/>
      <c r="Y58" s="117"/>
      <c r="Z58" s="105"/>
      <c r="AC58" s="46" t="s">
        <v>11</v>
      </c>
      <c r="AD58" s="22"/>
      <c r="AE58" s="67"/>
    </row>
    <row r="59" spans="1:31">
      <c r="A59" s="33">
        <v>4</v>
      </c>
      <c r="B59" s="34">
        <v>46022</v>
      </c>
      <c r="C59" s="35" t="s">
        <v>31</v>
      </c>
      <c r="D59" s="33">
        <v>7734.99</v>
      </c>
      <c r="F59" s="22" t="s">
        <v>28</v>
      </c>
      <c r="G59" s="6"/>
      <c r="H59" s="6"/>
      <c r="I59" s="22"/>
      <c r="J59" s="6"/>
      <c r="K59" s="6"/>
      <c r="L59" s="6"/>
      <c r="M59" s="6"/>
      <c r="N59" s="6"/>
      <c r="O59" s="22"/>
      <c r="P59" s="6"/>
      <c r="Q59" s="6"/>
      <c r="R59" s="6"/>
      <c r="S59" s="6"/>
      <c r="T59" s="22"/>
      <c r="U59" s="6"/>
      <c r="V59" s="6"/>
      <c r="W59" s="115"/>
      <c r="X59" s="104"/>
      <c r="Y59" s="117"/>
      <c r="Z59" s="105"/>
      <c r="AC59" s="46" t="s">
        <v>15</v>
      </c>
      <c r="AD59" s="81">
        <v>3645</v>
      </c>
      <c r="AE59" s="77" t="s">
        <v>108</v>
      </c>
    </row>
    <row r="60" spans="1:31" ht="28.8">
      <c r="A60" s="33">
        <v>5</v>
      </c>
      <c r="B60" s="34">
        <v>46022</v>
      </c>
      <c r="C60" s="35" t="s">
        <v>32</v>
      </c>
      <c r="D60" s="33">
        <v>21800</v>
      </c>
      <c r="F60" s="22" t="s">
        <v>28</v>
      </c>
      <c r="G60" s="6"/>
      <c r="H60" s="6"/>
      <c r="I60" s="22"/>
      <c r="J60" s="6"/>
      <c r="K60" s="6"/>
      <c r="L60" s="6"/>
      <c r="M60" s="6"/>
      <c r="N60" s="6"/>
      <c r="O60" s="22"/>
      <c r="P60" s="6"/>
      <c r="Q60" s="6"/>
      <c r="R60" s="6"/>
      <c r="S60" s="6"/>
      <c r="T60" s="22"/>
      <c r="U60" s="6"/>
      <c r="V60" s="6"/>
      <c r="W60" s="115"/>
      <c r="X60" s="104"/>
      <c r="Y60" s="117"/>
      <c r="Z60" s="105"/>
      <c r="AC60" s="46" t="s">
        <v>17</v>
      </c>
      <c r="AD60" s="82">
        <v>6075</v>
      </c>
      <c r="AE60" s="78" t="s">
        <v>107</v>
      </c>
    </row>
    <row r="61" spans="1:31" ht="15" thickBot="1">
      <c r="A61" s="33">
        <v>6</v>
      </c>
      <c r="B61" s="34">
        <v>46022</v>
      </c>
      <c r="C61" s="35" t="s">
        <v>33</v>
      </c>
      <c r="D61" s="33">
        <v>10499.99</v>
      </c>
      <c r="F61" s="22" t="s">
        <v>28</v>
      </c>
      <c r="G61" s="6"/>
      <c r="H61" s="6"/>
      <c r="I61" s="22"/>
      <c r="J61" s="6"/>
      <c r="K61" s="6"/>
      <c r="L61" s="6"/>
      <c r="M61" s="6"/>
      <c r="N61" s="6"/>
      <c r="O61" s="22"/>
      <c r="P61" s="6"/>
      <c r="Q61" s="6"/>
      <c r="R61" s="6"/>
      <c r="S61" s="6"/>
      <c r="T61" s="22"/>
      <c r="U61" s="6"/>
      <c r="V61" s="6"/>
      <c r="W61" s="115"/>
      <c r="X61" s="104"/>
      <c r="Y61" s="117"/>
      <c r="Z61" s="105"/>
      <c r="AC61" s="46" t="s">
        <v>19</v>
      </c>
      <c r="AD61" s="22"/>
      <c r="AE61" s="67"/>
    </row>
    <row r="62" spans="1:31" ht="29.4" thickBot="1">
      <c r="A62" s="33">
        <v>7</v>
      </c>
      <c r="B62" s="34">
        <v>46022</v>
      </c>
      <c r="C62" s="35" t="s">
        <v>35</v>
      </c>
      <c r="D62" s="33">
        <v>102187.99</v>
      </c>
      <c r="F62" s="50" t="s">
        <v>34</v>
      </c>
      <c r="G62" s="8">
        <f>SUM(G56:G61)</f>
        <v>213694</v>
      </c>
      <c r="H62" s="8">
        <f t="shared" ref="H62:V62" si="27">SUM(H56:H61)</f>
        <v>23135.48</v>
      </c>
      <c r="I62" s="8">
        <f t="shared" si="27"/>
        <v>201756</v>
      </c>
      <c r="J62" s="8">
        <f t="shared" si="27"/>
        <v>19831.13</v>
      </c>
      <c r="K62" s="8">
        <f t="shared" si="27"/>
        <v>204995.79</v>
      </c>
      <c r="L62" s="8">
        <f>SUM(L56:L61)</f>
        <v>17808.68</v>
      </c>
      <c r="M62" s="8"/>
      <c r="N62" s="8"/>
      <c r="O62" s="8">
        <f t="shared" si="27"/>
        <v>189834</v>
      </c>
      <c r="P62" s="8">
        <f t="shared" si="27"/>
        <v>19592</v>
      </c>
      <c r="Q62" s="8">
        <f t="shared" si="27"/>
        <v>305506</v>
      </c>
      <c r="R62" s="8">
        <f t="shared" si="27"/>
        <v>23205</v>
      </c>
      <c r="S62" s="8">
        <f t="shared" si="27"/>
        <v>215971.83000000002</v>
      </c>
      <c r="T62" s="8">
        <f t="shared" si="27"/>
        <v>217167.29</v>
      </c>
      <c r="U62" s="8">
        <f t="shared" si="27"/>
        <v>226641.71</v>
      </c>
      <c r="V62" s="8">
        <f t="shared" si="27"/>
        <v>103244.22</v>
      </c>
      <c r="W62" s="103">
        <f>SUM(W56:W61)</f>
        <v>46273</v>
      </c>
      <c r="X62" s="65">
        <f>SUM(X56:X61)</f>
        <v>0</v>
      </c>
      <c r="Y62" s="65">
        <f>SUM(Y56:Y61)</f>
        <v>2800</v>
      </c>
      <c r="Z62" s="106">
        <f>SUM(Z56:Z61)</f>
        <v>5600</v>
      </c>
      <c r="AC62" s="46" t="s">
        <v>20</v>
      </c>
      <c r="AD62" s="22"/>
      <c r="AE62" s="67"/>
    </row>
    <row r="63" spans="1:31" ht="28.8">
      <c r="A63" s="33">
        <v>8</v>
      </c>
      <c r="B63" s="34">
        <v>46022</v>
      </c>
      <c r="C63" s="35" t="s">
        <v>104</v>
      </c>
      <c r="D63" s="33">
        <v>259463</v>
      </c>
      <c r="F63" s="54" t="s">
        <v>36</v>
      </c>
      <c r="G63" s="49">
        <v>213694.67</v>
      </c>
      <c r="H63" s="49">
        <v>22856</v>
      </c>
      <c r="I63" s="49">
        <v>204995.79</v>
      </c>
      <c r="J63" s="49">
        <v>19592</v>
      </c>
      <c r="K63" s="49">
        <v>204995.79</v>
      </c>
      <c r="L63" s="49">
        <v>19592</v>
      </c>
      <c r="M63" s="49"/>
      <c r="N63" s="49"/>
      <c r="O63" s="49">
        <v>193479.79</v>
      </c>
      <c r="P63" s="49">
        <v>19592</v>
      </c>
      <c r="Q63" s="49">
        <v>311580.52</v>
      </c>
      <c r="R63" s="49">
        <v>26122</v>
      </c>
      <c r="S63" s="49">
        <v>215971.83</v>
      </c>
      <c r="T63" s="49">
        <v>215971.83</v>
      </c>
      <c r="U63" s="49">
        <v>227641.71</v>
      </c>
      <c r="V63" s="49">
        <v>103244.22</v>
      </c>
      <c r="W63" s="28"/>
      <c r="X63" s="28"/>
      <c r="Y63" s="28"/>
      <c r="Z63" s="28"/>
      <c r="AA63" s="28"/>
      <c r="AC63" s="46" t="s">
        <v>21</v>
      </c>
      <c r="AD63" s="22">
        <v>1000</v>
      </c>
      <c r="AE63" s="79" t="s">
        <v>112</v>
      </c>
    </row>
    <row r="64" spans="1:31">
      <c r="A64" s="33">
        <v>9</v>
      </c>
      <c r="B64" s="34">
        <v>46022</v>
      </c>
      <c r="C64" s="35" t="s">
        <v>38</v>
      </c>
      <c r="D64" s="33">
        <v>34651.97</v>
      </c>
      <c r="F64" s="56" t="s">
        <v>103</v>
      </c>
      <c r="G64" s="64">
        <f>(G63-G62)</f>
        <v>0.67000000001280569</v>
      </c>
      <c r="H64" s="64">
        <f t="shared" ref="H64" si="28">(H63-H62)</f>
        <v>-279.47999999999956</v>
      </c>
      <c r="I64" s="64">
        <f t="shared" ref="I64" si="29">(I63-I62)</f>
        <v>3239.7900000000081</v>
      </c>
      <c r="J64" s="64">
        <f t="shared" ref="J64" si="30">(J63-J62)</f>
        <v>-239.13000000000102</v>
      </c>
      <c r="K64" s="64">
        <f t="shared" ref="K64" si="31">(K63-K62)</f>
        <v>0</v>
      </c>
      <c r="L64" s="64">
        <f t="shared" ref="L64" si="32">(L63-L62)</f>
        <v>1783.3199999999997</v>
      </c>
      <c r="M64" s="64"/>
      <c r="N64" s="64"/>
      <c r="O64" s="64">
        <f t="shared" ref="O64" si="33">(O63-O62)</f>
        <v>3645.7900000000081</v>
      </c>
      <c r="P64" s="64">
        <f t="shared" ref="P64" si="34">(P63-P62)</f>
        <v>0</v>
      </c>
      <c r="Q64" s="64">
        <f t="shared" ref="Q64" si="35">(Q63-Q62)</f>
        <v>6074.5200000000186</v>
      </c>
      <c r="R64" s="64">
        <f>(R63-R62)</f>
        <v>2917</v>
      </c>
      <c r="S64" s="64">
        <f t="shared" ref="S64" si="36">(S63-S62)</f>
        <v>-2.9103830456733704E-11</v>
      </c>
      <c r="T64" s="64">
        <f t="shared" ref="T64" si="37">(T63-T62)</f>
        <v>-1195.460000000021</v>
      </c>
      <c r="U64" s="64">
        <f t="shared" ref="U64" si="38">(U63-U62)</f>
        <v>1000</v>
      </c>
      <c r="V64" s="64">
        <f>(V63-V62)</f>
        <v>0</v>
      </c>
      <c r="W64" s="39"/>
      <c r="X64" s="39"/>
      <c r="Y64" s="39"/>
      <c r="Z64" s="39"/>
      <c r="AA64" s="39"/>
      <c r="AC64" s="46" t="s">
        <v>22</v>
      </c>
      <c r="AD64" s="22"/>
      <c r="AE64" s="67"/>
    </row>
    <row r="65" spans="1:31" ht="28.8">
      <c r="A65" s="33">
        <v>10</v>
      </c>
      <c r="B65" s="34">
        <v>46022</v>
      </c>
      <c r="C65" s="35" t="s">
        <v>58</v>
      </c>
      <c r="D65" s="33">
        <v>0</v>
      </c>
      <c r="F65" s="12" t="s">
        <v>4</v>
      </c>
      <c r="G65" s="12" t="s">
        <v>39</v>
      </c>
      <c r="H65" s="13" t="s">
        <v>40</v>
      </c>
      <c r="I65" s="13" t="s">
        <v>105</v>
      </c>
      <c r="J65" s="13" t="s">
        <v>42</v>
      </c>
      <c r="K65" s="13" t="s">
        <v>43</v>
      </c>
      <c r="L65" s="37" t="s">
        <v>44</v>
      </c>
      <c r="M65" s="13" t="s">
        <v>45</v>
      </c>
      <c r="N65" s="37" t="s">
        <v>46</v>
      </c>
      <c r="O65" s="37" t="s">
        <v>47</v>
      </c>
      <c r="P65" s="37" t="s">
        <v>48</v>
      </c>
      <c r="Q65" s="37" t="s">
        <v>49</v>
      </c>
      <c r="R65" s="37" t="s">
        <v>50</v>
      </c>
      <c r="S65" s="38" t="s">
        <v>51</v>
      </c>
      <c r="T65" s="40" t="s">
        <v>52</v>
      </c>
      <c r="U65" s="41"/>
      <c r="V65" s="41"/>
      <c r="W65" s="41"/>
      <c r="X65" s="41"/>
      <c r="Y65" s="41"/>
      <c r="Z65" s="41"/>
      <c r="AA65" s="41"/>
      <c r="AC65" s="46"/>
      <c r="AD65" s="82">
        <v>2500</v>
      </c>
      <c r="AE65" s="79" t="s">
        <v>110</v>
      </c>
    </row>
    <row r="66" spans="1:31">
      <c r="A66" s="33">
        <v>11</v>
      </c>
      <c r="B66" s="34">
        <v>46022</v>
      </c>
      <c r="C66" s="35" t="s">
        <v>61</v>
      </c>
      <c r="D66" s="33">
        <v>35309.99</v>
      </c>
      <c r="F66" s="22" t="s">
        <v>3</v>
      </c>
      <c r="G66" s="27">
        <v>46037</v>
      </c>
      <c r="H66" s="27">
        <v>46037</v>
      </c>
      <c r="I66" s="27">
        <v>46037</v>
      </c>
      <c r="J66" s="27">
        <v>46037</v>
      </c>
      <c r="K66" s="27">
        <v>46037</v>
      </c>
      <c r="L66" s="27">
        <v>46037</v>
      </c>
      <c r="M66" s="27">
        <v>46037</v>
      </c>
      <c r="N66" s="27">
        <v>46037</v>
      </c>
      <c r="O66" s="27">
        <v>46037</v>
      </c>
      <c r="P66" s="27">
        <v>46037</v>
      </c>
      <c r="Q66" s="27">
        <v>46037</v>
      </c>
      <c r="R66" s="27">
        <v>46037</v>
      </c>
      <c r="S66" s="27">
        <v>46037</v>
      </c>
      <c r="T66" s="27">
        <v>46037</v>
      </c>
      <c r="U66" s="41"/>
      <c r="V66" s="41"/>
      <c r="W66" s="42"/>
      <c r="X66" s="42"/>
      <c r="Y66" s="42"/>
      <c r="Z66" s="42"/>
      <c r="AA66" s="42"/>
      <c r="AC66" s="80" t="s">
        <v>111</v>
      </c>
      <c r="AD66" s="83">
        <f>SUM(AD56:AD65)</f>
        <v>16459</v>
      </c>
      <c r="AE66" s="80"/>
    </row>
    <row r="67" spans="1:31" ht="15" thickBot="1">
      <c r="A67" s="33">
        <v>12</v>
      </c>
      <c r="B67" s="34">
        <v>46022</v>
      </c>
      <c r="C67" s="35" t="s">
        <v>121</v>
      </c>
      <c r="D67" s="33">
        <v>76630</v>
      </c>
      <c r="F67" s="59" t="s">
        <v>60</v>
      </c>
      <c r="G67" s="59">
        <v>510749.98</v>
      </c>
      <c r="H67" s="59">
        <v>440162</v>
      </c>
      <c r="I67" s="59">
        <v>259463</v>
      </c>
      <c r="J67" s="59">
        <v>113991</v>
      </c>
      <c r="K67" s="59">
        <v>102187.99</v>
      </c>
      <c r="L67" s="59">
        <v>34651.97</v>
      </c>
      <c r="M67" s="59">
        <v>10499.99</v>
      </c>
      <c r="N67" s="59">
        <v>7734.99</v>
      </c>
      <c r="O67" s="59">
        <v>21800</v>
      </c>
      <c r="P67" s="59">
        <v>0</v>
      </c>
      <c r="Q67" s="59">
        <v>0</v>
      </c>
      <c r="R67" s="59">
        <v>35309.99</v>
      </c>
      <c r="S67" s="59">
        <v>370690</v>
      </c>
      <c r="T67" s="59">
        <v>76630</v>
      </c>
      <c r="U67" s="41"/>
      <c r="V67" s="41"/>
      <c r="W67" s="28"/>
      <c r="X67" s="28"/>
      <c r="Y67" s="28"/>
      <c r="Z67" s="28"/>
      <c r="AA67" s="28"/>
    </row>
    <row r="68" spans="1:31" ht="43.8" thickBot="1">
      <c r="A68" s="33">
        <v>13</v>
      </c>
      <c r="B68" s="34">
        <v>46022</v>
      </c>
      <c r="C68" s="35" t="s">
        <v>122</v>
      </c>
      <c r="D68" s="33">
        <v>370690</v>
      </c>
      <c r="F68" s="68" t="s">
        <v>100</v>
      </c>
      <c r="G68" s="69">
        <f>SUM(G63:V63)-AD66</f>
        <v>1982871.1500000001</v>
      </c>
      <c r="I68" s="70" t="s">
        <v>34</v>
      </c>
      <c r="J68" s="71">
        <f>SUM(G62:V62)-AD66</f>
        <v>1965924.1300000001</v>
      </c>
      <c r="L68" s="86" t="s">
        <v>89</v>
      </c>
      <c r="M68" s="87">
        <f>(G68-J68)</f>
        <v>16947.020000000019</v>
      </c>
      <c r="O68" s="72" t="s">
        <v>115</v>
      </c>
      <c r="P68" s="73">
        <f>SUM(G67:T67)</f>
        <v>1983870.91</v>
      </c>
      <c r="Q68" s="28"/>
      <c r="R68" s="74" t="s">
        <v>101</v>
      </c>
      <c r="S68" s="75">
        <f>SUM(X62:Z62)</f>
        <v>8400</v>
      </c>
      <c r="T68" s="43"/>
      <c r="U68" s="28"/>
      <c r="V68" s="28"/>
    </row>
    <row r="69" spans="1:31" ht="15" thickBot="1">
      <c r="A69" s="121" t="s">
        <v>124</v>
      </c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8"/>
      <c r="V69" s="18"/>
      <c r="W69" s="18"/>
      <c r="X69" s="18"/>
      <c r="Y69" s="18"/>
      <c r="Z69" s="18"/>
      <c r="AA69" s="99"/>
    </row>
    <row r="70" spans="1:31" ht="15" thickBot="1">
      <c r="A70" s="19" t="s">
        <v>2</v>
      </c>
      <c r="B70" s="19" t="s">
        <v>3</v>
      </c>
      <c r="C70" s="19" t="s">
        <v>4</v>
      </c>
      <c r="D70" s="19" t="s">
        <v>5</v>
      </c>
      <c r="F70" s="12" t="s">
        <v>6</v>
      </c>
      <c r="G70" s="12" t="s">
        <v>7</v>
      </c>
      <c r="H70" s="12" t="s">
        <v>8</v>
      </c>
      <c r="I70" s="13" t="s">
        <v>9</v>
      </c>
      <c r="J70" s="13" t="s">
        <v>10</v>
      </c>
      <c r="K70" s="13" t="s">
        <v>11</v>
      </c>
      <c r="L70" s="13" t="s">
        <v>12</v>
      </c>
      <c r="M70" s="13" t="s">
        <v>13</v>
      </c>
      <c r="N70" s="13" t="s">
        <v>14</v>
      </c>
      <c r="O70" s="13" t="s">
        <v>15</v>
      </c>
      <c r="P70" s="13" t="s">
        <v>16</v>
      </c>
      <c r="Q70" s="13" t="s">
        <v>17</v>
      </c>
      <c r="R70" s="13" t="s">
        <v>18</v>
      </c>
      <c r="S70" s="13" t="s">
        <v>19</v>
      </c>
      <c r="T70" s="13" t="s">
        <v>20</v>
      </c>
      <c r="U70" s="13" t="s">
        <v>21</v>
      </c>
      <c r="V70" s="13" t="s">
        <v>22</v>
      </c>
      <c r="W70" s="100" t="s">
        <v>25</v>
      </c>
      <c r="X70" s="61" t="s">
        <v>23</v>
      </c>
      <c r="Y70" s="116" t="s">
        <v>128</v>
      </c>
      <c r="Z70" s="61" t="s">
        <v>72</v>
      </c>
      <c r="AA70" s="91" t="s">
        <v>127</v>
      </c>
      <c r="AC70" s="63" t="s">
        <v>98</v>
      </c>
      <c r="AD70" s="63" t="s">
        <v>97</v>
      </c>
      <c r="AE70" s="63" t="s">
        <v>109</v>
      </c>
    </row>
    <row r="71" spans="1:31">
      <c r="A71" s="33">
        <v>1</v>
      </c>
      <c r="B71" s="34">
        <v>46053</v>
      </c>
      <c r="C71" s="35" t="s">
        <v>27</v>
      </c>
      <c r="D71" s="33">
        <v>128022</v>
      </c>
      <c r="F71" s="22" t="s">
        <v>28</v>
      </c>
      <c r="G71" s="22">
        <v>220448.31</v>
      </c>
      <c r="H71" s="23">
        <v>24038</v>
      </c>
      <c r="I71" s="22">
        <v>209316.24</v>
      </c>
      <c r="J71" s="23">
        <v>20604</v>
      </c>
      <c r="K71" s="22">
        <v>169110</v>
      </c>
      <c r="L71" s="22">
        <f>SUM(M71:N71)</f>
        <v>20604.330000000002</v>
      </c>
      <c r="M71" s="22">
        <v>17170.330000000002</v>
      </c>
      <c r="N71" s="23">
        <v>3434</v>
      </c>
      <c r="O71" s="22">
        <v>171117</v>
      </c>
      <c r="P71" s="22">
        <v>20604</v>
      </c>
      <c r="Q71" s="22">
        <v>256145</v>
      </c>
      <c r="R71" s="22">
        <v>27473</v>
      </c>
      <c r="S71" s="22">
        <v>176654.02</v>
      </c>
      <c r="T71" s="22">
        <v>219713</v>
      </c>
      <c r="U71" s="22">
        <v>233322.7</v>
      </c>
      <c r="V71" s="22">
        <v>91352.960000000006</v>
      </c>
      <c r="W71" s="102">
        <v>24038</v>
      </c>
      <c r="X71" s="104">
        <v>3000</v>
      </c>
      <c r="Y71" s="104">
        <v>6400</v>
      </c>
      <c r="Z71" s="22">
        <v>5000</v>
      </c>
      <c r="AA71" s="105">
        <v>1947</v>
      </c>
      <c r="AB71" s="44" t="s">
        <v>95</v>
      </c>
      <c r="AC71" s="46" t="s">
        <v>7</v>
      </c>
      <c r="AD71" s="22"/>
      <c r="AE71" s="67"/>
    </row>
    <row r="72" spans="1:31">
      <c r="A72" s="33">
        <v>2</v>
      </c>
      <c r="B72" s="34">
        <v>46053</v>
      </c>
      <c r="C72" s="35" t="s">
        <v>29</v>
      </c>
      <c r="D72" s="33">
        <v>434564</v>
      </c>
      <c r="F72" s="22" t="s">
        <v>28</v>
      </c>
      <c r="G72" s="22"/>
      <c r="H72" s="22"/>
      <c r="I72" s="22"/>
      <c r="J72" s="22"/>
      <c r="K72" s="22">
        <v>41211</v>
      </c>
      <c r="L72" s="22"/>
      <c r="M72" s="22"/>
      <c r="N72" s="22"/>
      <c r="O72" s="22">
        <v>24100</v>
      </c>
      <c r="P72" s="22"/>
      <c r="Q72" s="22">
        <v>63288</v>
      </c>
      <c r="R72" s="22"/>
      <c r="S72" s="22">
        <v>44155</v>
      </c>
      <c r="T72" s="22"/>
      <c r="U72" s="22"/>
      <c r="V72" s="22">
        <v>6202.13</v>
      </c>
      <c r="W72" s="102">
        <v>20604</v>
      </c>
      <c r="X72" s="104">
        <v>500</v>
      </c>
      <c r="Y72" s="120"/>
      <c r="Z72" s="22"/>
      <c r="AA72" s="105"/>
      <c r="AB72" s="45" t="s">
        <v>96</v>
      </c>
      <c r="AC72" s="46" t="s">
        <v>9</v>
      </c>
      <c r="AD72" s="81"/>
      <c r="AE72" s="77"/>
    </row>
    <row r="73" spans="1:31">
      <c r="A73" s="33">
        <v>3</v>
      </c>
      <c r="B73" s="34">
        <v>46053</v>
      </c>
      <c r="C73" s="35" t="s">
        <v>30</v>
      </c>
      <c r="D73" s="33">
        <v>561000</v>
      </c>
      <c r="F73" s="22" t="s">
        <v>28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>
        <v>9809</v>
      </c>
      <c r="W73" s="102">
        <v>3434</v>
      </c>
      <c r="X73" s="104">
        <v>7000</v>
      </c>
      <c r="Y73" s="120"/>
      <c r="Z73" s="22"/>
      <c r="AA73" s="105"/>
      <c r="AC73" s="46" t="s">
        <v>11</v>
      </c>
      <c r="AD73" s="22"/>
      <c r="AE73" s="67"/>
    </row>
    <row r="74" spans="1:31">
      <c r="A74" s="33">
        <v>4</v>
      </c>
      <c r="B74" s="34">
        <v>46053</v>
      </c>
      <c r="C74" s="35" t="s">
        <v>31</v>
      </c>
      <c r="D74" s="33">
        <v>8049.99</v>
      </c>
      <c r="F74" s="22" t="s">
        <v>28</v>
      </c>
      <c r="G74" s="6"/>
      <c r="H74" s="6"/>
      <c r="I74" s="22"/>
      <c r="J74" s="6"/>
      <c r="K74" s="6"/>
      <c r="L74" s="6"/>
      <c r="M74" s="6"/>
      <c r="N74" s="6"/>
      <c r="O74" s="22"/>
      <c r="P74" s="6"/>
      <c r="Q74" s="6"/>
      <c r="R74" s="6"/>
      <c r="S74" s="6"/>
      <c r="T74" s="22"/>
      <c r="U74" s="6"/>
      <c r="V74" s="6"/>
      <c r="W74" s="115"/>
      <c r="X74" s="104"/>
      <c r="Y74" s="120"/>
      <c r="Z74" s="22"/>
      <c r="AA74" s="105"/>
      <c r="AC74" s="46" t="s">
        <v>15</v>
      </c>
      <c r="AD74" s="81"/>
      <c r="AE74" s="77"/>
    </row>
    <row r="75" spans="1:31">
      <c r="A75" s="33">
        <v>5</v>
      </c>
      <c r="B75" s="34">
        <v>46053</v>
      </c>
      <c r="C75" s="35" t="s">
        <v>32</v>
      </c>
      <c r="D75" s="33">
        <v>21800</v>
      </c>
      <c r="F75" s="22" t="s">
        <v>28</v>
      </c>
      <c r="G75" s="6"/>
      <c r="H75" s="6"/>
      <c r="I75" s="22"/>
      <c r="J75" s="6"/>
      <c r="K75" s="6"/>
      <c r="L75" s="6"/>
      <c r="M75" s="6"/>
      <c r="N75" s="6"/>
      <c r="O75" s="22"/>
      <c r="P75" s="6"/>
      <c r="Q75" s="6"/>
      <c r="R75" s="6"/>
      <c r="S75" s="6"/>
      <c r="T75" s="22"/>
      <c r="U75" s="6"/>
      <c r="V75" s="6"/>
      <c r="W75" s="115"/>
      <c r="X75" s="104"/>
      <c r="Y75" s="120"/>
      <c r="Z75" s="22"/>
      <c r="AA75" s="105"/>
      <c r="AC75" s="46" t="s">
        <v>17</v>
      </c>
      <c r="AD75" s="82"/>
      <c r="AE75" s="78"/>
    </row>
    <row r="76" spans="1:31" ht="15" thickBot="1">
      <c r="A76" s="33">
        <v>6</v>
      </c>
      <c r="B76" s="34">
        <v>46053</v>
      </c>
      <c r="C76" s="35" t="s">
        <v>33</v>
      </c>
      <c r="D76" s="33">
        <v>10499.99</v>
      </c>
      <c r="F76" s="22" t="s">
        <v>28</v>
      </c>
      <c r="G76" s="6"/>
      <c r="H76" s="6"/>
      <c r="I76" s="22"/>
      <c r="J76" s="6"/>
      <c r="K76" s="6"/>
      <c r="L76" s="6"/>
      <c r="M76" s="6"/>
      <c r="N76" s="6"/>
      <c r="O76" s="22"/>
      <c r="P76" s="6"/>
      <c r="Q76" s="6"/>
      <c r="R76" s="6"/>
      <c r="S76" s="6"/>
      <c r="T76" s="22"/>
      <c r="U76" s="6"/>
      <c r="V76" s="6"/>
      <c r="W76" s="115"/>
      <c r="X76" s="104"/>
      <c r="Y76" s="120"/>
      <c r="Z76" s="22"/>
      <c r="AA76" s="105"/>
      <c r="AC76" s="46" t="s">
        <v>19</v>
      </c>
      <c r="AD76" s="22"/>
      <c r="AE76" s="67"/>
    </row>
    <row r="77" spans="1:31" ht="29.4" thickBot="1">
      <c r="A77" s="33">
        <v>7</v>
      </c>
      <c r="B77" s="34">
        <v>46053</v>
      </c>
      <c r="C77" s="35" t="s">
        <v>35</v>
      </c>
      <c r="D77" s="33">
        <v>102187.99</v>
      </c>
      <c r="F77" s="50" t="s">
        <v>34</v>
      </c>
      <c r="G77" s="8">
        <f>SUM(G71:G76)</f>
        <v>220448.31</v>
      </c>
      <c r="H77" s="8">
        <f t="shared" ref="H77:K77" si="39">SUM(H71:H76)</f>
        <v>24038</v>
      </c>
      <c r="I77" s="8">
        <f t="shared" si="39"/>
        <v>209316.24</v>
      </c>
      <c r="J77" s="8">
        <f t="shared" si="39"/>
        <v>20604</v>
      </c>
      <c r="K77" s="8">
        <f t="shared" si="39"/>
        <v>210321</v>
      </c>
      <c r="L77" s="8">
        <f>SUM(L71:L76)</f>
        <v>20604.330000000002</v>
      </c>
      <c r="M77" s="8"/>
      <c r="N77" s="8"/>
      <c r="O77" s="8">
        <f t="shared" ref="O77:V77" si="40">SUM(O71:O76)</f>
        <v>195217</v>
      </c>
      <c r="P77" s="8">
        <f t="shared" si="40"/>
        <v>20604</v>
      </c>
      <c r="Q77" s="8">
        <f t="shared" si="40"/>
        <v>319433</v>
      </c>
      <c r="R77" s="8">
        <f t="shared" si="40"/>
        <v>27473</v>
      </c>
      <c r="S77" s="8">
        <f t="shared" si="40"/>
        <v>220809.02</v>
      </c>
      <c r="T77" s="8">
        <f t="shared" si="40"/>
        <v>219713</v>
      </c>
      <c r="U77" s="8">
        <f t="shared" si="40"/>
        <v>233322.7</v>
      </c>
      <c r="V77" s="8">
        <f t="shared" si="40"/>
        <v>107364.09000000001</v>
      </c>
      <c r="W77" s="103">
        <f>SUM(W71:W76)</f>
        <v>48076</v>
      </c>
      <c r="X77" s="65">
        <f>SUM(X71:X76)</f>
        <v>10500</v>
      </c>
      <c r="Y77" s="65">
        <f>SUM(Y71:Y76)</f>
        <v>6400</v>
      </c>
      <c r="Z77" s="65">
        <f>SUM(Z71:Z76)</f>
        <v>5000</v>
      </c>
      <c r="AA77" s="65">
        <f>SUM(AA71:AA76)</f>
        <v>1947</v>
      </c>
      <c r="AC77" s="46" t="s">
        <v>20</v>
      </c>
      <c r="AD77" s="22"/>
      <c r="AE77" s="67"/>
    </row>
    <row r="78" spans="1:31" ht="28.8">
      <c r="A78" s="33">
        <v>8</v>
      </c>
      <c r="B78" s="34">
        <v>46053</v>
      </c>
      <c r="C78" s="35" t="s">
        <v>104</v>
      </c>
      <c r="D78" s="33">
        <v>298230.99</v>
      </c>
      <c r="F78" s="54" t="s">
        <v>36</v>
      </c>
      <c r="G78" s="49">
        <v>220448.31</v>
      </c>
      <c r="H78" s="49">
        <v>24038.799999999999</v>
      </c>
      <c r="I78" s="49">
        <v>209316.35</v>
      </c>
      <c r="J78" s="49">
        <v>20604.400000000001</v>
      </c>
      <c r="K78" s="49">
        <v>210320.35</v>
      </c>
      <c r="L78" s="49">
        <v>20604.400000000001</v>
      </c>
      <c r="M78" s="49"/>
      <c r="N78" s="49"/>
      <c r="O78" s="49">
        <v>195216.35</v>
      </c>
      <c r="P78" s="49">
        <v>20604.400000000001</v>
      </c>
      <c r="Q78" s="49">
        <v>319432.96999999997</v>
      </c>
      <c r="R78" s="49">
        <v>27473.19</v>
      </c>
      <c r="S78" s="49">
        <v>220809.02</v>
      </c>
      <c r="T78" s="49">
        <v>219713.02</v>
      </c>
      <c r="U78" s="49">
        <v>233322.26</v>
      </c>
      <c r="V78" s="49">
        <v>107364.09</v>
      </c>
      <c r="W78" s="28"/>
      <c r="X78" s="28"/>
      <c r="Y78" s="28"/>
      <c r="Z78" s="28"/>
      <c r="AA78" s="28"/>
      <c r="AC78" s="46" t="s">
        <v>21</v>
      </c>
      <c r="AD78" s="22"/>
      <c r="AE78" s="79"/>
    </row>
    <row r="79" spans="1:31">
      <c r="A79" s="33">
        <v>9</v>
      </c>
      <c r="B79" s="34">
        <v>46053</v>
      </c>
      <c r="C79" s="35" t="s">
        <v>38</v>
      </c>
      <c r="D79" s="33">
        <v>29140.97</v>
      </c>
      <c r="F79" s="56" t="s">
        <v>103</v>
      </c>
      <c r="G79" s="64">
        <f t="shared" ref="G79:L79" si="41">(G78-G77)</f>
        <v>0</v>
      </c>
      <c r="H79" s="64">
        <f t="shared" si="41"/>
        <v>0.7999999999992724</v>
      </c>
      <c r="I79" s="64">
        <f t="shared" si="41"/>
        <v>0.11000000001513399</v>
      </c>
      <c r="J79" s="64">
        <f t="shared" si="41"/>
        <v>0.40000000000145519</v>
      </c>
      <c r="K79" s="64">
        <f t="shared" si="41"/>
        <v>-0.64999999999417923</v>
      </c>
      <c r="L79" s="64">
        <f t="shared" si="41"/>
        <v>6.9999999999708962E-2</v>
      </c>
      <c r="M79" s="64"/>
      <c r="N79" s="64"/>
      <c r="O79" s="64">
        <f>(O78-O77)</f>
        <v>-0.64999999999417923</v>
      </c>
      <c r="P79" s="64">
        <f>(P78-P77)</f>
        <v>0.40000000000145519</v>
      </c>
      <c r="Q79" s="64">
        <f t="shared" ref="Q79:U79" si="42">(Q78-Q77)</f>
        <v>-3.0000000027939677E-2</v>
      </c>
      <c r="R79" s="64">
        <f t="shared" si="42"/>
        <v>0.18999999999869033</v>
      </c>
      <c r="S79" s="64">
        <f>(S78-S77)</f>
        <v>0</v>
      </c>
      <c r="T79" s="64">
        <f t="shared" si="42"/>
        <v>1.9999999989522621E-2</v>
      </c>
      <c r="U79" s="64">
        <f t="shared" si="42"/>
        <v>-0.44000000000232831</v>
      </c>
      <c r="V79" s="64">
        <f>(V78-V77)</f>
        <v>-1.4551915228366852E-11</v>
      </c>
      <c r="W79" s="39"/>
      <c r="X79" s="39"/>
      <c r="Y79" s="39"/>
      <c r="Z79" s="39"/>
      <c r="AA79" s="39"/>
      <c r="AC79" s="46" t="s">
        <v>22</v>
      </c>
      <c r="AD79" s="22"/>
      <c r="AE79" s="67"/>
    </row>
    <row r="80" spans="1:31" ht="28.8">
      <c r="A80" s="33">
        <v>10</v>
      </c>
      <c r="B80" s="34">
        <v>46053</v>
      </c>
      <c r="C80" s="35" t="s">
        <v>58</v>
      </c>
      <c r="D80" s="33">
        <v>0</v>
      </c>
      <c r="F80" s="12" t="s">
        <v>4</v>
      </c>
      <c r="G80" s="12" t="s">
        <v>39</v>
      </c>
      <c r="H80" s="13" t="s">
        <v>40</v>
      </c>
      <c r="I80" s="13" t="s">
        <v>105</v>
      </c>
      <c r="J80" s="13" t="s">
        <v>42</v>
      </c>
      <c r="K80" s="13" t="s">
        <v>43</v>
      </c>
      <c r="L80" s="37" t="s">
        <v>44</v>
      </c>
      <c r="M80" s="13" t="s">
        <v>45</v>
      </c>
      <c r="N80" s="37" t="s">
        <v>46</v>
      </c>
      <c r="O80" s="37" t="s">
        <v>47</v>
      </c>
      <c r="P80" s="37" t="s">
        <v>48</v>
      </c>
      <c r="Q80" s="37" t="s">
        <v>49</v>
      </c>
      <c r="R80" s="37" t="s">
        <v>50</v>
      </c>
      <c r="S80" s="38" t="s">
        <v>51</v>
      </c>
      <c r="T80" s="40" t="s">
        <v>52</v>
      </c>
      <c r="U80" s="40" t="s">
        <v>123</v>
      </c>
      <c r="V80" s="40" t="s">
        <v>132</v>
      </c>
      <c r="W80" s="41"/>
      <c r="X80" s="41"/>
      <c r="Y80" s="41"/>
      <c r="Z80" s="41"/>
      <c r="AA80" s="41"/>
      <c r="AC80" s="46"/>
      <c r="AD80" s="82"/>
      <c r="AE80" s="79"/>
    </row>
    <row r="81" spans="1:31">
      <c r="A81" s="33">
        <v>11</v>
      </c>
      <c r="B81" s="34">
        <v>46053</v>
      </c>
      <c r="C81" s="35" t="s">
        <v>61</v>
      </c>
      <c r="D81" s="33">
        <v>35299.980000000003</v>
      </c>
      <c r="F81" s="22" t="s">
        <v>3</v>
      </c>
      <c r="G81" s="27">
        <v>46068</v>
      </c>
      <c r="H81" s="27">
        <v>46068</v>
      </c>
      <c r="I81" s="27">
        <v>46068</v>
      </c>
      <c r="J81" s="27">
        <v>46068</v>
      </c>
      <c r="K81" s="27">
        <v>46068</v>
      </c>
      <c r="L81" s="27">
        <v>46068</v>
      </c>
      <c r="M81" s="27">
        <v>46068</v>
      </c>
      <c r="N81" s="27">
        <v>46068</v>
      </c>
      <c r="O81" s="27">
        <v>46068</v>
      </c>
      <c r="P81" s="27">
        <v>46068</v>
      </c>
      <c r="Q81" s="27">
        <v>46068</v>
      </c>
      <c r="R81" s="27">
        <v>46068</v>
      </c>
      <c r="S81" s="27">
        <v>46068</v>
      </c>
      <c r="T81" s="27">
        <v>46068</v>
      </c>
      <c r="U81" s="27">
        <v>46068</v>
      </c>
      <c r="V81" s="27">
        <v>46068</v>
      </c>
      <c r="W81" s="42"/>
      <c r="X81" s="42"/>
      <c r="Y81" s="42"/>
      <c r="Z81" s="42"/>
      <c r="AA81" s="42"/>
      <c r="AC81" s="80" t="s">
        <v>111</v>
      </c>
      <c r="AD81" s="83">
        <f>SUM(AD71:AD80)</f>
        <v>0</v>
      </c>
      <c r="AE81" s="80"/>
    </row>
    <row r="82" spans="1:31" ht="15" thickBot="1">
      <c r="A82" s="33">
        <v>12</v>
      </c>
      <c r="B82" s="34">
        <v>46053</v>
      </c>
      <c r="C82" s="35" t="s">
        <v>125</v>
      </c>
      <c r="D82" s="33">
        <v>68899.990000000005</v>
      </c>
      <c r="F82" s="59" t="s">
        <v>60</v>
      </c>
      <c r="G82" s="59">
        <v>561000</v>
      </c>
      <c r="H82" s="59">
        <v>434564</v>
      </c>
      <c r="I82" s="59">
        <v>298230.99</v>
      </c>
      <c r="J82" s="59">
        <v>128022</v>
      </c>
      <c r="K82" s="59">
        <v>102187.99</v>
      </c>
      <c r="L82" s="59">
        <v>29140.97</v>
      </c>
      <c r="M82" s="59">
        <v>10499.99</v>
      </c>
      <c r="N82" s="59">
        <v>8049.99</v>
      </c>
      <c r="O82" s="59">
        <v>21800</v>
      </c>
      <c r="P82" s="59">
        <v>0</v>
      </c>
      <c r="Q82" s="59">
        <v>0</v>
      </c>
      <c r="R82" s="59">
        <v>35299.980000000003</v>
      </c>
      <c r="S82" s="59">
        <v>326921</v>
      </c>
      <c r="T82" s="59">
        <v>68899.990000000005</v>
      </c>
      <c r="U82" s="59">
        <v>31950</v>
      </c>
      <c r="V82" s="59">
        <v>12555</v>
      </c>
      <c r="W82" s="28"/>
      <c r="X82" s="28"/>
      <c r="Y82" s="28"/>
      <c r="Z82" s="28"/>
      <c r="AA82" s="28"/>
    </row>
    <row r="83" spans="1:31" ht="43.8" thickBot="1">
      <c r="A83" s="33">
        <v>13</v>
      </c>
      <c r="B83" s="34">
        <v>46053</v>
      </c>
      <c r="C83" s="35" t="s">
        <v>126</v>
      </c>
      <c r="D83" s="33">
        <v>326921</v>
      </c>
      <c r="F83" s="68" t="s">
        <v>100</v>
      </c>
      <c r="G83" s="69">
        <f>SUM(G78:V78)-AD81</f>
        <v>2049267.9100000001</v>
      </c>
      <c r="I83" s="70" t="s">
        <v>34</v>
      </c>
      <c r="J83" s="71">
        <f>SUM(G77:V77)-AD81</f>
        <v>2049267.69</v>
      </c>
      <c r="L83" s="86" t="s">
        <v>89</v>
      </c>
      <c r="M83" s="87">
        <f>(G83-J83)</f>
        <v>0.22000000020489097</v>
      </c>
      <c r="O83" s="72" t="s">
        <v>115</v>
      </c>
      <c r="P83" s="73">
        <f>SUM(G82:V82)</f>
        <v>2069121.9</v>
      </c>
      <c r="Q83" s="28"/>
      <c r="R83" s="74" t="s">
        <v>101</v>
      </c>
      <c r="S83" s="75">
        <f>SUM(X77:AA77)</f>
        <v>23847</v>
      </c>
      <c r="T83" s="43"/>
      <c r="U83" s="28"/>
      <c r="V83" s="28"/>
    </row>
    <row r="84" spans="1:31">
      <c r="A84" s="33">
        <v>14</v>
      </c>
      <c r="B84" s="34">
        <v>46053</v>
      </c>
      <c r="C84" s="35" t="s">
        <v>123</v>
      </c>
      <c r="D84" s="33">
        <v>31950</v>
      </c>
    </row>
    <row r="85" spans="1:31">
      <c r="A85" s="33">
        <v>15</v>
      </c>
      <c r="B85" s="34">
        <v>46053</v>
      </c>
      <c r="C85" s="35" t="s">
        <v>132</v>
      </c>
      <c r="D85" s="33">
        <v>12555</v>
      </c>
    </row>
    <row r="87" spans="1:31" ht="15" thickBot="1">
      <c r="A87" s="121" t="s">
        <v>129</v>
      </c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8"/>
      <c r="V87" s="18"/>
      <c r="W87" s="18"/>
      <c r="X87" s="18"/>
      <c r="Y87" s="18"/>
      <c r="Z87" s="18"/>
      <c r="AA87" s="99"/>
    </row>
    <row r="88" spans="1:31" ht="15" thickBot="1">
      <c r="A88" s="19" t="s">
        <v>2</v>
      </c>
      <c r="B88" s="19" t="s">
        <v>3</v>
      </c>
      <c r="C88" s="19" t="s">
        <v>4</v>
      </c>
      <c r="D88" s="19" t="s">
        <v>5</v>
      </c>
      <c r="F88" s="12" t="s">
        <v>6</v>
      </c>
      <c r="G88" s="12" t="s">
        <v>7</v>
      </c>
      <c r="H88" s="12" t="s">
        <v>8</v>
      </c>
      <c r="I88" s="13" t="s">
        <v>9</v>
      </c>
      <c r="J88" s="13" t="s">
        <v>10</v>
      </c>
      <c r="K88" s="13" t="s">
        <v>11</v>
      </c>
      <c r="L88" s="13" t="s">
        <v>12</v>
      </c>
      <c r="M88" s="13" t="s">
        <v>13</v>
      </c>
      <c r="N88" s="13" t="s">
        <v>14</v>
      </c>
      <c r="O88" s="13" t="s">
        <v>15</v>
      </c>
      <c r="P88" s="13" t="s">
        <v>16</v>
      </c>
      <c r="Q88" s="13" t="s">
        <v>17</v>
      </c>
      <c r="R88" s="13" t="s">
        <v>18</v>
      </c>
      <c r="S88" s="13" t="s">
        <v>19</v>
      </c>
      <c r="T88" s="13" t="s">
        <v>20</v>
      </c>
      <c r="U88" s="13" t="s">
        <v>21</v>
      </c>
      <c r="V88" s="13" t="s">
        <v>22</v>
      </c>
      <c r="W88" s="100" t="s">
        <v>25</v>
      </c>
      <c r="X88" s="61" t="s">
        <v>23</v>
      </c>
      <c r="Y88" s="116" t="s">
        <v>128</v>
      </c>
      <c r="Z88" s="61" t="s">
        <v>72</v>
      </c>
      <c r="AA88" s="91" t="s">
        <v>127</v>
      </c>
      <c r="AC88" s="63" t="s">
        <v>98</v>
      </c>
      <c r="AD88" s="63" t="s">
        <v>97</v>
      </c>
      <c r="AE88" s="63" t="s">
        <v>109</v>
      </c>
    </row>
    <row r="89" spans="1:31">
      <c r="A89" s="33">
        <v>1</v>
      </c>
      <c r="B89" s="34">
        <v>46053</v>
      </c>
      <c r="C89" s="35" t="s">
        <v>27</v>
      </c>
      <c r="D89" s="33"/>
      <c r="F89" s="22" t="s">
        <v>28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115"/>
      <c r="X89" s="104">
        <v>3000</v>
      </c>
      <c r="Y89" s="104"/>
      <c r="Z89" s="22">
        <v>10000</v>
      </c>
      <c r="AA89" s="105">
        <v>2189</v>
      </c>
      <c r="AB89" s="44" t="s">
        <v>95</v>
      </c>
      <c r="AC89" s="46" t="s">
        <v>7</v>
      </c>
      <c r="AD89" s="22"/>
      <c r="AE89" s="67"/>
    </row>
    <row r="90" spans="1:31">
      <c r="A90" s="33">
        <v>2</v>
      </c>
      <c r="B90" s="34">
        <v>46053</v>
      </c>
      <c r="C90" s="35" t="s">
        <v>29</v>
      </c>
      <c r="D90" s="33"/>
      <c r="F90" s="22" t="s">
        <v>28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115"/>
      <c r="X90" s="104">
        <v>500</v>
      </c>
      <c r="Y90" s="120"/>
      <c r="Z90" s="22">
        <v>10000</v>
      </c>
      <c r="AA90" s="105">
        <v>1450</v>
      </c>
      <c r="AB90" s="45" t="s">
        <v>96</v>
      </c>
      <c r="AC90" s="46" t="s">
        <v>9</v>
      </c>
      <c r="AD90" s="81"/>
      <c r="AE90" s="77"/>
    </row>
    <row r="91" spans="1:31">
      <c r="A91" s="33">
        <v>3</v>
      </c>
      <c r="B91" s="34">
        <v>46053</v>
      </c>
      <c r="C91" s="35" t="s">
        <v>30</v>
      </c>
      <c r="D91" s="33"/>
      <c r="F91" s="22" t="s">
        <v>28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115"/>
      <c r="X91" s="104"/>
      <c r="Y91" s="120"/>
      <c r="Z91" s="22"/>
      <c r="AA91" s="105"/>
      <c r="AC91" s="46" t="s">
        <v>11</v>
      </c>
      <c r="AD91" s="22"/>
      <c r="AE91" s="67"/>
    </row>
    <row r="92" spans="1:31">
      <c r="A92" s="33">
        <v>4</v>
      </c>
      <c r="B92" s="34">
        <v>46053</v>
      </c>
      <c r="C92" s="35" t="s">
        <v>31</v>
      </c>
      <c r="D92" s="33"/>
      <c r="F92" s="22" t="s">
        <v>28</v>
      </c>
      <c r="G92" s="6"/>
      <c r="H92" s="6"/>
      <c r="I92" s="22"/>
      <c r="J92" s="6"/>
      <c r="K92" s="6"/>
      <c r="L92" s="6"/>
      <c r="M92" s="6"/>
      <c r="N92" s="6"/>
      <c r="O92" s="22"/>
      <c r="P92" s="6"/>
      <c r="Q92" s="6"/>
      <c r="R92" s="6"/>
      <c r="S92" s="6"/>
      <c r="T92" s="22"/>
      <c r="U92" s="6"/>
      <c r="V92" s="6"/>
      <c r="W92" s="115"/>
      <c r="X92" s="104"/>
      <c r="Y92" s="120"/>
      <c r="Z92" s="22"/>
      <c r="AA92" s="105"/>
      <c r="AC92" s="46" t="s">
        <v>15</v>
      </c>
      <c r="AD92" s="81"/>
      <c r="AE92" s="77"/>
    </row>
    <row r="93" spans="1:31">
      <c r="A93" s="33">
        <v>5</v>
      </c>
      <c r="B93" s="34">
        <v>46053</v>
      </c>
      <c r="C93" s="35" t="s">
        <v>32</v>
      </c>
      <c r="D93" s="33"/>
      <c r="F93" s="22" t="s">
        <v>28</v>
      </c>
      <c r="G93" s="6"/>
      <c r="H93" s="6"/>
      <c r="I93" s="22"/>
      <c r="J93" s="6"/>
      <c r="K93" s="6"/>
      <c r="L93" s="6"/>
      <c r="M93" s="6"/>
      <c r="N93" s="6"/>
      <c r="O93" s="22"/>
      <c r="P93" s="6"/>
      <c r="Q93" s="6"/>
      <c r="R93" s="6"/>
      <c r="S93" s="6"/>
      <c r="T93" s="22"/>
      <c r="U93" s="6"/>
      <c r="V93" s="6"/>
      <c r="W93" s="115"/>
      <c r="X93" s="104"/>
      <c r="Y93" s="120"/>
      <c r="Z93" s="22"/>
      <c r="AA93" s="105"/>
      <c r="AC93" s="46" t="s">
        <v>17</v>
      </c>
      <c r="AD93" s="82"/>
      <c r="AE93" s="78"/>
    </row>
    <row r="94" spans="1:31" ht="15" thickBot="1">
      <c r="A94" s="33">
        <v>6</v>
      </c>
      <c r="B94" s="34">
        <v>46053</v>
      </c>
      <c r="C94" s="35" t="s">
        <v>33</v>
      </c>
      <c r="D94" s="33"/>
      <c r="F94" s="22" t="s">
        <v>28</v>
      </c>
      <c r="G94" s="6"/>
      <c r="H94" s="6"/>
      <c r="I94" s="22"/>
      <c r="J94" s="6"/>
      <c r="K94" s="6"/>
      <c r="L94" s="6"/>
      <c r="M94" s="6"/>
      <c r="N94" s="6"/>
      <c r="O94" s="22"/>
      <c r="P94" s="6"/>
      <c r="Q94" s="6"/>
      <c r="R94" s="6"/>
      <c r="S94" s="6"/>
      <c r="T94" s="22"/>
      <c r="U94" s="6"/>
      <c r="V94" s="6"/>
      <c r="W94" s="115"/>
      <c r="X94" s="104"/>
      <c r="Y94" s="120"/>
      <c r="Z94" s="22"/>
      <c r="AA94" s="105"/>
      <c r="AC94" s="46" t="s">
        <v>19</v>
      </c>
      <c r="AD94" s="22"/>
      <c r="AE94" s="67"/>
    </row>
    <row r="95" spans="1:31" ht="29.4" thickBot="1">
      <c r="A95" s="33">
        <v>7</v>
      </c>
      <c r="B95" s="34">
        <v>46053</v>
      </c>
      <c r="C95" s="35" t="s">
        <v>35</v>
      </c>
      <c r="D95" s="33"/>
      <c r="F95" s="50" t="s">
        <v>34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03"/>
      <c r="X95" s="65">
        <f>SUM(X89:X94)</f>
        <v>3500</v>
      </c>
      <c r="Y95" s="65">
        <f>SUM(Y89:Y94)</f>
        <v>0</v>
      </c>
      <c r="Z95" s="65">
        <f>SUM(Z89:Z94)</f>
        <v>20000</v>
      </c>
      <c r="AA95" s="65">
        <f>SUM(AA89:AA94)</f>
        <v>3639</v>
      </c>
      <c r="AC95" s="46" t="s">
        <v>20</v>
      </c>
      <c r="AD95" s="22"/>
      <c r="AE95" s="67"/>
    </row>
    <row r="96" spans="1:31" ht="28.8">
      <c r="A96" s="33">
        <v>8</v>
      </c>
      <c r="B96" s="34">
        <v>46053</v>
      </c>
      <c r="C96" s="35" t="s">
        <v>104</v>
      </c>
      <c r="D96" s="33"/>
      <c r="F96" s="54" t="s">
        <v>36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28"/>
      <c r="X96" s="28"/>
      <c r="Y96" s="28"/>
      <c r="Z96" s="28"/>
      <c r="AA96" s="28"/>
      <c r="AC96" s="46" t="s">
        <v>21</v>
      </c>
      <c r="AD96" s="22"/>
      <c r="AE96" s="79"/>
    </row>
    <row r="97" spans="1:31">
      <c r="A97" s="33">
        <v>9</v>
      </c>
      <c r="B97" s="34">
        <v>46053</v>
      </c>
      <c r="C97" s="35" t="s">
        <v>38</v>
      </c>
      <c r="D97" s="33"/>
      <c r="F97" s="56" t="s">
        <v>103</v>
      </c>
      <c r="G97" s="64">
        <f t="shared" ref="G97:L97" si="43">(G96-G95)</f>
        <v>0</v>
      </c>
      <c r="H97" s="64">
        <f t="shared" si="43"/>
        <v>0</v>
      </c>
      <c r="I97" s="64">
        <f t="shared" si="43"/>
        <v>0</v>
      </c>
      <c r="J97" s="64">
        <f t="shared" si="43"/>
        <v>0</v>
      </c>
      <c r="K97" s="64">
        <f t="shared" si="43"/>
        <v>0</v>
      </c>
      <c r="L97" s="64">
        <f t="shared" si="43"/>
        <v>0</v>
      </c>
      <c r="M97" s="64"/>
      <c r="N97" s="64"/>
      <c r="O97" s="64">
        <f>(O96-O95)</f>
        <v>0</v>
      </c>
      <c r="P97" s="64">
        <f>(P96-P95)</f>
        <v>0</v>
      </c>
      <c r="Q97" s="64">
        <f t="shared" ref="Q97" si="44">(Q96-Q95)</f>
        <v>0</v>
      </c>
      <c r="R97" s="64">
        <f t="shared" ref="R97" si="45">(R96-R95)</f>
        <v>0</v>
      </c>
      <c r="S97" s="64">
        <f>(S96-S95)</f>
        <v>0</v>
      </c>
      <c r="T97" s="64">
        <f t="shared" ref="T97" si="46">(T96-T95)</f>
        <v>0</v>
      </c>
      <c r="U97" s="64">
        <f t="shared" ref="U97" si="47">(U96-U95)</f>
        <v>0</v>
      </c>
      <c r="V97" s="64">
        <f>(V96-V95)</f>
        <v>0</v>
      </c>
      <c r="W97" s="39"/>
      <c r="X97" s="39"/>
      <c r="Y97" s="39"/>
      <c r="Z97" s="39"/>
      <c r="AA97" s="39"/>
      <c r="AC97" s="46" t="s">
        <v>22</v>
      </c>
      <c r="AD97" s="22"/>
      <c r="AE97" s="67"/>
    </row>
    <row r="98" spans="1:31" ht="28.8">
      <c r="A98" s="33">
        <v>10</v>
      </c>
      <c r="B98" s="34">
        <v>46053</v>
      </c>
      <c r="C98" s="35" t="s">
        <v>58</v>
      </c>
      <c r="D98" s="33"/>
      <c r="F98" s="12" t="s">
        <v>4</v>
      </c>
      <c r="G98" s="12" t="s">
        <v>39</v>
      </c>
      <c r="H98" s="13" t="s">
        <v>40</v>
      </c>
      <c r="I98" s="13" t="s">
        <v>105</v>
      </c>
      <c r="J98" s="13" t="s">
        <v>42</v>
      </c>
      <c r="K98" s="13" t="s">
        <v>43</v>
      </c>
      <c r="L98" s="37" t="s">
        <v>44</v>
      </c>
      <c r="M98" s="13" t="s">
        <v>45</v>
      </c>
      <c r="N98" s="37" t="s">
        <v>46</v>
      </c>
      <c r="O98" s="37" t="s">
        <v>47</v>
      </c>
      <c r="P98" s="37" t="s">
        <v>48</v>
      </c>
      <c r="Q98" s="37" t="s">
        <v>49</v>
      </c>
      <c r="R98" s="37" t="s">
        <v>50</v>
      </c>
      <c r="S98" s="38" t="s">
        <v>51</v>
      </c>
      <c r="T98" s="40" t="s">
        <v>52</v>
      </c>
      <c r="U98" s="40" t="s">
        <v>123</v>
      </c>
      <c r="V98" s="41"/>
      <c r="W98" s="41"/>
      <c r="X98" s="41"/>
      <c r="Y98" s="41"/>
      <c r="Z98" s="41"/>
      <c r="AA98" s="41"/>
      <c r="AC98" s="46"/>
      <c r="AD98" s="82"/>
      <c r="AE98" s="79"/>
    </row>
    <row r="99" spans="1:31">
      <c r="A99" s="33">
        <v>11</v>
      </c>
      <c r="B99" s="34">
        <v>46053</v>
      </c>
      <c r="C99" s="35" t="s">
        <v>61</v>
      </c>
      <c r="D99" s="33"/>
      <c r="F99" s="22" t="s">
        <v>3</v>
      </c>
      <c r="G99" s="27">
        <v>46096</v>
      </c>
      <c r="H99" s="27">
        <v>46096</v>
      </c>
      <c r="I99" s="27">
        <v>46096</v>
      </c>
      <c r="J99" s="27">
        <v>46096</v>
      </c>
      <c r="K99" s="27">
        <v>46096</v>
      </c>
      <c r="L99" s="27">
        <v>46096</v>
      </c>
      <c r="M99" s="27">
        <v>46096</v>
      </c>
      <c r="N99" s="27">
        <v>46096</v>
      </c>
      <c r="O99" s="27">
        <v>46096</v>
      </c>
      <c r="P99" s="27">
        <v>46096</v>
      </c>
      <c r="Q99" s="27">
        <v>46096</v>
      </c>
      <c r="R99" s="27">
        <v>46096</v>
      </c>
      <c r="S99" s="27">
        <v>46096</v>
      </c>
      <c r="T99" s="27">
        <v>46096</v>
      </c>
      <c r="U99" s="27">
        <v>46096</v>
      </c>
      <c r="V99" s="41"/>
      <c r="W99" s="42"/>
      <c r="X99" s="42"/>
      <c r="Y99" s="42"/>
      <c r="Z99" s="42"/>
      <c r="AA99" s="42"/>
      <c r="AC99" s="80" t="s">
        <v>111</v>
      </c>
      <c r="AD99" s="83">
        <f>SUM(AD89:AD98)</f>
        <v>0</v>
      </c>
      <c r="AE99" s="80"/>
    </row>
    <row r="100" spans="1:31" ht="15" thickBot="1">
      <c r="A100" s="33">
        <v>12</v>
      </c>
      <c r="B100" s="34">
        <v>46053</v>
      </c>
      <c r="C100" s="35" t="s">
        <v>131</v>
      </c>
      <c r="D100" s="33"/>
      <c r="F100" s="59" t="s">
        <v>60</v>
      </c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41"/>
      <c r="W100" s="28"/>
      <c r="X100" s="28"/>
      <c r="Y100" s="28"/>
      <c r="Z100" s="28"/>
      <c r="AA100" s="28"/>
    </row>
    <row r="101" spans="1:31" ht="41.4" customHeight="1" thickBot="1">
      <c r="A101" s="33">
        <v>13</v>
      </c>
      <c r="B101" s="34">
        <v>46053</v>
      </c>
      <c r="C101" s="35" t="s">
        <v>130</v>
      </c>
      <c r="D101" s="33"/>
      <c r="F101" s="68" t="s">
        <v>100</v>
      </c>
      <c r="G101" s="69">
        <f>SUM(G96:V96)-AD99</f>
        <v>0</v>
      </c>
      <c r="I101" s="70" t="s">
        <v>34</v>
      </c>
      <c r="J101" s="71">
        <f>SUM(G95:V95)-AD99</f>
        <v>0</v>
      </c>
      <c r="L101" s="86" t="s">
        <v>89</v>
      </c>
      <c r="M101" s="87">
        <f>(G101-J101)</f>
        <v>0</v>
      </c>
      <c r="O101" s="72" t="s">
        <v>115</v>
      </c>
      <c r="P101" s="73">
        <f>SUM(G100:U100)</f>
        <v>0</v>
      </c>
      <c r="Q101" s="28"/>
      <c r="R101" s="74" t="s">
        <v>101</v>
      </c>
      <c r="S101" s="75">
        <f>SUM(X95:AA95)</f>
        <v>27139</v>
      </c>
      <c r="T101" s="43"/>
      <c r="U101" s="28"/>
    </row>
    <row r="102" spans="1:31">
      <c r="A102" s="33">
        <v>14</v>
      </c>
      <c r="B102" s="34">
        <v>46053</v>
      </c>
      <c r="C102" s="35" t="s">
        <v>123</v>
      </c>
      <c r="D102" s="33"/>
    </row>
  </sheetData>
  <mergeCells count="30">
    <mergeCell ref="A87:D87"/>
    <mergeCell ref="E87:H87"/>
    <mergeCell ref="I87:L87"/>
    <mergeCell ref="M87:P87"/>
    <mergeCell ref="Q87:T87"/>
    <mergeCell ref="Q69:T69"/>
    <mergeCell ref="M69:P69"/>
    <mergeCell ref="I69:L69"/>
    <mergeCell ref="E69:H69"/>
    <mergeCell ref="A69:D69"/>
    <mergeCell ref="A21:D21"/>
    <mergeCell ref="E21:H21"/>
    <mergeCell ref="I21:L21"/>
    <mergeCell ref="M21:P21"/>
    <mergeCell ref="Q21:T21"/>
    <mergeCell ref="A2:D2"/>
    <mergeCell ref="E2:H2"/>
    <mergeCell ref="I2:L2"/>
    <mergeCell ref="M2:P2"/>
    <mergeCell ref="Q2:T2"/>
    <mergeCell ref="A54:D54"/>
    <mergeCell ref="E54:H54"/>
    <mergeCell ref="I54:L54"/>
    <mergeCell ref="M54:P54"/>
    <mergeCell ref="Q54:T54"/>
    <mergeCell ref="A37:D37"/>
    <mergeCell ref="E37:H37"/>
    <mergeCell ref="I37:L37"/>
    <mergeCell ref="M37:P37"/>
    <mergeCell ref="Q37:T3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opLeftCell="A12" zoomScale="80" zoomScaleNormal="80" workbookViewId="0">
      <selection activeCell="L16" sqref="L16"/>
    </sheetView>
  </sheetViews>
  <sheetFormatPr defaultColWidth="9" defaultRowHeight="14.4"/>
  <cols>
    <col min="1" max="1" width="12.109375" customWidth="1"/>
    <col min="2" max="2" width="22.6640625" customWidth="1"/>
    <col min="3" max="3" width="15.33203125" customWidth="1"/>
    <col min="4" max="4" width="14.21875" customWidth="1"/>
    <col min="5" max="5" width="14.109375" customWidth="1"/>
    <col min="6" max="6" width="13.5546875" customWidth="1"/>
    <col min="7" max="7" width="12" customWidth="1"/>
    <col min="8" max="8" width="13.5546875" customWidth="1"/>
    <col min="9" max="9" width="12" customWidth="1"/>
    <col min="10" max="10" width="13.5546875" customWidth="1"/>
    <col min="11" max="11" width="12" customWidth="1"/>
    <col min="12" max="15" width="13.5546875" customWidth="1"/>
  </cols>
  <sheetData>
    <row r="1" spans="1:5" ht="28.8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</row>
    <row r="2" spans="1:5">
      <c r="A2" s="6">
        <v>1</v>
      </c>
      <c r="B2" s="7" t="s">
        <v>84</v>
      </c>
      <c r="C2" s="8">
        <v>2096951.55</v>
      </c>
      <c r="D2" s="9">
        <v>2125895</v>
      </c>
      <c r="E2" s="10">
        <v>2280628</v>
      </c>
    </row>
    <row r="3" spans="1:5">
      <c r="A3" s="6">
        <v>2</v>
      </c>
      <c r="B3" s="7" t="s">
        <v>85</v>
      </c>
      <c r="C3" s="8">
        <v>2220420</v>
      </c>
      <c r="D3" s="9">
        <v>1973888</v>
      </c>
      <c r="E3" s="10">
        <v>1814146</v>
      </c>
    </row>
    <row r="4" spans="1:5">
      <c r="A4" s="6">
        <v>3</v>
      </c>
      <c r="B4" s="7" t="s">
        <v>86</v>
      </c>
      <c r="C4" s="8">
        <v>1867712</v>
      </c>
      <c r="D4" s="9">
        <v>1881241</v>
      </c>
      <c r="E4" s="10">
        <v>1842211</v>
      </c>
    </row>
    <row r="5" spans="1:5">
      <c r="C5" s="11">
        <f>SUM(C2:C4)</f>
        <v>6185083.5499999998</v>
      </c>
      <c r="D5" s="11">
        <f>SUM(D2:D4)</f>
        <v>5981024</v>
      </c>
      <c r="E5" s="11">
        <f>SUM(E2:E4)</f>
        <v>5936985</v>
      </c>
    </row>
    <row r="17" spans="1:15">
      <c r="K17" s="67"/>
    </row>
    <row r="19" spans="1:15" ht="15" thickBot="1"/>
    <row r="20" spans="1:15" ht="15" thickBot="1">
      <c r="B20" s="92">
        <f>SUM(B24,B29,B34,B39)</f>
        <v>4.0000000007978542E-2</v>
      </c>
      <c r="C20" s="93">
        <f>SUM(C24,C29,C34,C39)</f>
        <v>-3770.2299999999996</v>
      </c>
      <c r="D20" s="94">
        <f t="shared" ref="D20:L20" si="0">SUM(D24,D29,D34,D39)</f>
        <v>44876.330000000016</v>
      </c>
      <c r="E20" s="93">
        <f t="shared" si="0"/>
        <v>-3392.5799999999981</v>
      </c>
      <c r="F20" s="93">
        <f t="shared" si="0"/>
        <v>-6800.5</v>
      </c>
      <c r="G20" s="93">
        <f t="shared" si="0"/>
        <v>-39020.799999999996</v>
      </c>
      <c r="H20" s="93">
        <f t="shared" si="0"/>
        <v>-3709.7900000000081</v>
      </c>
      <c r="I20" s="93">
        <f t="shared" si="0"/>
        <v>0</v>
      </c>
      <c r="J20" s="93">
        <f t="shared" si="0"/>
        <v>-11602.520000000019</v>
      </c>
      <c r="K20" s="93">
        <f t="shared" si="0"/>
        <v>-13974</v>
      </c>
      <c r="L20" s="93">
        <f t="shared" si="0"/>
        <v>-548.21000000000095</v>
      </c>
      <c r="M20" s="93">
        <f>SUM(M24,M29,M34,M39)</f>
        <v>-10288.54999999997</v>
      </c>
      <c r="N20" s="93">
        <f t="shared" ref="N20" si="1">SUM(N24,N29,N34,N39)</f>
        <v>-1001.3600000000149</v>
      </c>
      <c r="O20" s="95">
        <f>SUM(O24,O29,O34,O39)</f>
        <v>-1.2100000000054938</v>
      </c>
    </row>
    <row r="21" spans="1:15" ht="58.8" customHeight="1">
      <c r="A21" s="5" t="s">
        <v>87</v>
      </c>
      <c r="B21" s="25" t="s">
        <v>7</v>
      </c>
      <c r="C21" s="25" t="s">
        <v>8</v>
      </c>
      <c r="D21" s="26" t="s">
        <v>9</v>
      </c>
      <c r="E21" s="26" t="s">
        <v>10</v>
      </c>
      <c r="F21" s="26" t="s">
        <v>11</v>
      </c>
      <c r="G21" s="26" t="s">
        <v>88</v>
      </c>
      <c r="H21" s="26" t="s">
        <v>15</v>
      </c>
      <c r="I21" s="26" t="s">
        <v>16</v>
      </c>
      <c r="J21" s="26" t="s">
        <v>17</v>
      </c>
      <c r="K21" s="26" t="s">
        <v>18</v>
      </c>
      <c r="L21" s="26" t="s">
        <v>19</v>
      </c>
      <c r="M21" s="26" t="s">
        <v>20</v>
      </c>
      <c r="N21" s="26" t="s">
        <v>21</v>
      </c>
      <c r="O21" s="26" t="s">
        <v>22</v>
      </c>
    </row>
    <row r="22" spans="1:15" ht="28.8">
      <c r="A22" s="5" t="s">
        <v>82</v>
      </c>
      <c r="B22" s="14">
        <v>225409</v>
      </c>
      <c r="C22" s="14">
        <v>24122</v>
      </c>
      <c r="D22" s="14">
        <v>217328</v>
      </c>
      <c r="E22" s="15">
        <v>20866</v>
      </c>
      <c r="F22" s="15">
        <v>216761</v>
      </c>
      <c r="G22" s="15">
        <v>20866</v>
      </c>
      <c r="H22" s="15">
        <v>217328</v>
      </c>
      <c r="I22" s="15">
        <v>20866</v>
      </c>
      <c r="J22" s="15">
        <v>328450</v>
      </c>
      <c r="K22" s="15">
        <v>27338</v>
      </c>
      <c r="L22" s="15">
        <v>229153</v>
      </c>
      <c r="M22" s="15">
        <v>229153</v>
      </c>
      <c r="N22" s="15">
        <v>239265</v>
      </c>
      <c r="O22" s="15">
        <v>108990</v>
      </c>
    </row>
    <row r="23" spans="1:15" ht="28.8">
      <c r="A23" s="5" t="s">
        <v>81</v>
      </c>
      <c r="B23" s="16">
        <v>225728</v>
      </c>
      <c r="C23" s="16">
        <v>22993.29</v>
      </c>
      <c r="D23" s="16">
        <v>250299</v>
      </c>
      <c r="E23" s="16">
        <v>19737.29</v>
      </c>
      <c r="F23" s="16">
        <v>206243.5</v>
      </c>
      <c r="G23" s="16">
        <v>4740.5200000000004</v>
      </c>
      <c r="H23" s="16">
        <v>217328</v>
      </c>
      <c r="I23" s="16">
        <v>20866</v>
      </c>
      <c r="J23" s="16">
        <v>309488</v>
      </c>
      <c r="K23" s="16">
        <v>27338</v>
      </c>
      <c r="L23" s="16">
        <v>215582.32</v>
      </c>
      <c r="M23" s="16">
        <v>215582.32</v>
      </c>
      <c r="N23" s="16">
        <v>239687.53</v>
      </c>
      <c r="O23" s="16">
        <v>114127.28</v>
      </c>
    </row>
    <row r="24" spans="1:15">
      <c r="A24" s="5" t="s">
        <v>89</v>
      </c>
      <c r="B24" s="3">
        <f t="shared" ref="B24:O24" si="2">(B23-B22)</f>
        <v>319</v>
      </c>
      <c r="C24" s="3">
        <f t="shared" si="2"/>
        <v>-1128.7099999999991</v>
      </c>
      <c r="D24" s="3">
        <f t="shared" si="2"/>
        <v>32971</v>
      </c>
      <c r="E24" s="3">
        <f t="shared" si="2"/>
        <v>-1128.7099999999991</v>
      </c>
      <c r="F24" s="3">
        <f t="shared" si="2"/>
        <v>-10517.5</v>
      </c>
      <c r="G24" s="3">
        <f t="shared" si="2"/>
        <v>-16125.48</v>
      </c>
      <c r="H24" s="3">
        <f t="shared" si="2"/>
        <v>0</v>
      </c>
      <c r="I24" s="3">
        <f t="shared" si="2"/>
        <v>0</v>
      </c>
      <c r="J24" s="3">
        <f t="shared" si="2"/>
        <v>-18962</v>
      </c>
      <c r="K24" s="3">
        <f t="shared" si="2"/>
        <v>0</v>
      </c>
      <c r="L24" s="3">
        <f t="shared" si="2"/>
        <v>-13570.68</v>
      </c>
      <c r="M24" s="3">
        <f t="shared" si="2"/>
        <v>-13570.68</v>
      </c>
      <c r="N24" s="3">
        <f t="shared" si="2"/>
        <v>422.52999999999901</v>
      </c>
      <c r="O24" s="3">
        <f t="shared" si="2"/>
        <v>5137.28</v>
      </c>
    </row>
    <row r="26" spans="1:15" ht="55.2" customHeight="1">
      <c r="A26" s="5" t="s">
        <v>90</v>
      </c>
      <c r="B26" s="12" t="s">
        <v>7</v>
      </c>
      <c r="C26" s="12" t="s">
        <v>8</v>
      </c>
      <c r="D26" s="13" t="s">
        <v>9</v>
      </c>
      <c r="E26" s="13" t="s">
        <v>10</v>
      </c>
      <c r="F26" s="13" t="s">
        <v>11</v>
      </c>
      <c r="G26" s="13" t="s">
        <v>88</v>
      </c>
      <c r="H26" s="13" t="s">
        <v>15</v>
      </c>
      <c r="I26" s="13" t="s">
        <v>16</v>
      </c>
      <c r="J26" s="13" t="s">
        <v>17</v>
      </c>
      <c r="K26" s="13" t="s">
        <v>18</v>
      </c>
      <c r="L26" s="13" t="s">
        <v>19</v>
      </c>
      <c r="M26" s="13" t="s">
        <v>20</v>
      </c>
      <c r="N26" s="13" t="s">
        <v>21</v>
      </c>
      <c r="O26" s="13" t="s">
        <v>22</v>
      </c>
    </row>
    <row r="27" spans="1:15" ht="28.8">
      <c r="A27" s="5" t="s">
        <v>82</v>
      </c>
      <c r="B27" s="14">
        <v>210989</v>
      </c>
      <c r="C27" s="14">
        <v>23194</v>
      </c>
      <c r="D27" s="14">
        <v>200855</v>
      </c>
      <c r="E27" s="15">
        <v>19880</v>
      </c>
      <c r="F27" s="15">
        <v>199210</v>
      </c>
      <c r="G27" s="15">
        <v>19880</v>
      </c>
      <c r="H27" s="15">
        <v>199210</v>
      </c>
      <c r="I27" s="15">
        <v>19880</v>
      </c>
      <c r="J27" s="15">
        <v>304290</v>
      </c>
      <c r="K27" s="15">
        <v>26508</v>
      </c>
      <c r="L27" s="15">
        <v>211507</v>
      </c>
      <c r="M27" s="15">
        <v>210959</v>
      </c>
      <c r="N27" s="15">
        <v>222091</v>
      </c>
      <c r="O27" s="15">
        <v>105435</v>
      </c>
    </row>
    <row r="28" spans="1:15" ht="28.8">
      <c r="A28" s="5" t="s">
        <v>81</v>
      </c>
      <c r="B28" s="16">
        <v>210669.83</v>
      </c>
      <c r="C28" s="16">
        <v>20273</v>
      </c>
      <c r="D28" s="16">
        <v>216000</v>
      </c>
      <c r="E28" s="16">
        <v>17377</v>
      </c>
      <c r="F28" s="16">
        <v>207927</v>
      </c>
      <c r="G28" s="16">
        <v>12650</v>
      </c>
      <c r="H28" s="16">
        <v>199210</v>
      </c>
      <c r="I28" s="16">
        <v>19880</v>
      </c>
      <c r="J28" s="16">
        <v>323251</v>
      </c>
      <c r="K28" s="16">
        <v>26508</v>
      </c>
      <c r="L28" s="16">
        <v>224529.47</v>
      </c>
      <c r="M28" s="16">
        <v>213045.67</v>
      </c>
      <c r="N28" s="16">
        <v>221668</v>
      </c>
      <c r="O28" s="16">
        <v>100297</v>
      </c>
    </row>
    <row r="29" spans="1:15">
      <c r="A29" s="5" t="s">
        <v>89</v>
      </c>
      <c r="B29" s="3">
        <f t="shared" ref="B29:O29" si="3">(B28-B27)</f>
        <v>-319.17000000001298</v>
      </c>
      <c r="C29" s="3">
        <f t="shared" si="3"/>
        <v>-2921</v>
      </c>
      <c r="D29" s="3">
        <f t="shared" si="3"/>
        <v>15145</v>
      </c>
      <c r="E29" s="3">
        <f t="shared" si="3"/>
        <v>-2503</v>
      </c>
      <c r="F29" s="3">
        <f t="shared" si="3"/>
        <v>8717</v>
      </c>
      <c r="G29" s="3">
        <f t="shared" si="3"/>
        <v>-7230</v>
      </c>
      <c r="H29" s="3">
        <f t="shared" si="3"/>
        <v>0</v>
      </c>
      <c r="I29" s="3">
        <f t="shared" si="3"/>
        <v>0</v>
      </c>
      <c r="J29" s="3">
        <f t="shared" si="3"/>
        <v>18961</v>
      </c>
      <c r="K29" s="3">
        <f t="shared" si="3"/>
        <v>0</v>
      </c>
      <c r="L29" s="3">
        <f t="shared" si="3"/>
        <v>13022.47</v>
      </c>
      <c r="M29" s="3">
        <f t="shared" si="3"/>
        <v>2086.6700000000101</v>
      </c>
      <c r="N29" s="3">
        <f t="shared" si="3"/>
        <v>-423</v>
      </c>
      <c r="O29" s="3">
        <f t="shared" si="3"/>
        <v>-5138</v>
      </c>
    </row>
    <row r="31" spans="1:15" ht="54.6" customHeight="1">
      <c r="A31" s="5" t="s">
        <v>91</v>
      </c>
      <c r="B31" s="12" t="s">
        <v>7</v>
      </c>
      <c r="C31" s="12" t="s">
        <v>8</v>
      </c>
      <c r="D31" s="13" t="s">
        <v>9</v>
      </c>
      <c r="E31" s="13" t="s">
        <v>10</v>
      </c>
      <c r="F31" s="13" t="s">
        <v>11</v>
      </c>
      <c r="G31" s="13" t="s">
        <v>88</v>
      </c>
      <c r="H31" s="13" t="s">
        <v>15</v>
      </c>
      <c r="I31" s="13" t="s">
        <v>16</v>
      </c>
      <c r="J31" s="13" t="s">
        <v>17</v>
      </c>
      <c r="K31" s="13" t="s">
        <v>18</v>
      </c>
      <c r="L31" s="13" t="s">
        <v>19</v>
      </c>
      <c r="M31" s="13" t="s">
        <v>20</v>
      </c>
      <c r="N31" s="13" t="s">
        <v>21</v>
      </c>
      <c r="O31" s="13" t="s">
        <v>22</v>
      </c>
    </row>
    <row r="32" spans="1:15" ht="28.8">
      <c r="A32" s="5" t="s">
        <v>82</v>
      </c>
      <c r="B32" s="14">
        <v>205605.13</v>
      </c>
      <c r="C32" s="14">
        <v>19433</v>
      </c>
      <c r="D32" s="14">
        <v>196196.55</v>
      </c>
      <c r="E32" s="15">
        <v>16658</v>
      </c>
      <c r="F32" s="15">
        <v>195914</v>
      </c>
      <c r="G32" s="15">
        <v>16658</v>
      </c>
      <c r="H32" s="15">
        <v>195064</v>
      </c>
      <c r="I32" s="15">
        <v>16658</v>
      </c>
      <c r="J32" s="15">
        <v>294426</v>
      </c>
      <c r="K32" s="15">
        <v>22209</v>
      </c>
      <c r="L32" s="15">
        <v>198711.28</v>
      </c>
      <c r="M32" s="15">
        <v>199428.28</v>
      </c>
      <c r="N32" s="15">
        <v>209508.89</v>
      </c>
      <c r="O32" s="15">
        <v>94770.49</v>
      </c>
    </row>
    <row r="33" spans="1:15" ht="28.8">
      <c r="A33" s="5" t="s">
        <v>81</v>
      </c>
      <c r="B33" s="16">
        <v>205604.67</v>
      </c>
      <c r="C33" s="16">
        <v>19433</v>
      </c>
      <c r="D33" s="16">
        <v>196196.67</v>
      </c>
      <c r="E33" s="16">
        <v>16658</v>
      </c>
      <c r="F33" s="16">
        <v>190914</v>
      </c>
      <c r="G33" s="16">
        <v>2776</v>
      </c>
      <c r="H33" s="16">
        <v>195000</v>
      </c>
      <c r="I33" s="16">
        <v>16658</v>
      </c>
      <c r="J33" s="16">
        <v>288899</v>
      </c>
      <c r="K33" s="16">
        <v>11152</v>
      </c>
      <c r="L33" s="16">
        <v>198711.28</v>
      </c>
      <c r="M33" s="16">
        <v>199428.28</v>
      </c>
      <c r="N33" s="16">
        <v>209508</v>
      </c>
      <c r="O33" s="16">
        <v>94770</v>
      </c>
    </row>
    <row r="34" spans="1:15">
      <c r="A34" s="5" t="s">
        <v>89</v>
      </c>
      <c r="B34" s="3">
        <f t="shared" ref="B34:O34" si="4">(B33-B32)</f>
        <v>-0.45999999999185098</v>
      </c>
      <c r="C34" s="3">
        <f t="shared" si="4"/>
        <v>0</v>
      </c>
      <c r="D34" s="3">
        <f t="shared" si="4"/>
        <v>0.120000000024447</v>
      </c>
      <c r="E34" s="3">
        <f t="shared" si="4"/>
        <v>0</v>
      </c>
      <c r="F34" s="3">
        <f t="shared" si="4"/>
        <v>-5000</v>
      </c>
      <c r="G34" s="3">
        <f t="shared" si="4"/>
        <v>-13882</v>
      </c>
      <c r="H34" s="3">
        <f t="shared" si="4"/>
        <v>-64</v>
      </c>
      <c r="I34" s="3">
        <f t="shared" si="4"/>
        <v>0</v>
      </c>
      <c r="J34" s="3">
        <f t="shared" si="4"/>
        <v>-5527</v>
      </c>
      <c r="K34" s="3">
        <f t="shared" si="4"/>
        <v>-11057</v>
      </c>
      <c r="L34" s="3">
        <f t="shared" si="4"/>
        <v>0</v>
      </c>
      <c r="M34" s="3">
        <f t="shared" si="4"/>
        <v>0</v>
      </c>
      <c r="N34" s="3">
        <f t="shared" si="4"/>
        <v>-0.89000000001396995</v>
      </c>
      <c r="O34" s="3">
        <f t="shared" si="4"/>
        <v>-0.49000000000523902</v>
      </c>
    </row>
    <row r="36" spans="1:15" ht="58.8" customHeight="1">
      <c r="A36" s="47" t="s">
        <v>99</v>
      </c>
      <c r="B36" s="12" t="s">
        <v>7</v>
      </c>
      <c r="C36" s="12" t="s">
        <v>8</v>
      </c>
      <c r="D36" s="13" t="s">
        <v>9</v>
      </c>
      <c r="E36" s="13" t="s">
        <v>10</v>
      </c>
      <c r="F36" s="13" t="s">
        <v>11</v>
      </c>
      <c r="G36" s="13" t="s">
        <v>88</v>
      </c>
      <c r="H36" s="13" t="s">
        <v>15</v>
      </c>
      <c r="I36" s="13" t="s">
        <v>16</v>
      </c>
      <c r="J36" s="13" t="s">
        <v>17</v>
      </c>
      <c r="K36" s="13" t="s">
        <v>18</v>
      </c>
      <c r="L36" s="13" t="s">
        <v>19</v>
      </c>
      <c r="M36" s="13" t="s">
        <v>20</v>
      </c>
      <c r="N36" s="13" t="s">
        <v>21</v>
      </c>
      <c r="O36" s="13" t="s">
        <v>22</v>
      </c>
    </row>
    <row r="37" spans="1:15" ht="28.8">
      <c r="A37" s="5" t="s">
        <v>82</v>
      </c>
      <c r="B37" s="14">
        <v>213694</v>
      </c>
      <c r="C37" s="14">
        <v>22856</v>
      </c>
      <c r="D37" s="14">
        <v>204995.79</v>
      </c>
      <c r="E37" s="15">
        <v>19592</v>
      </c>
      <c r="F37" s="15">
        <v>204995.79</v>
      </c>
      <c r="G37" s="15">
        <v>19592</v>
      </c>
      <c r="H37" s="15">
        <v>193479.79</v>
      </c>
      <c r="I37" s="15">
        <v>19592</v>
      </c>
      <c r="J37" s="15">
        <v>311580.52</v>
      </c>
      <c r="K37" s="15">
        <v>26122</v>
      </c>
      <c r="L37" s="15">
        <v>215971.83</v>
      </c>
      <c r="M37" s="15">
        <v>215971.83</v>
      </c>
      <c r="N37" s="15">
        <v>227641.71</v>
      </c>
      <c r="O37" s="15">
        <v>103244.22</v>
      </c>
    </row>
    <row r="38" spans="1:15" ht="28.8">
      <c r="A38" s="5" t="s">
        <v>81</v>
      </c>
      <c r="B38" s="16">
        <v>213694.67</v>
      </c>
      <c r="C38" s="16">
        <v>23135.48</v>
      </c>
      <c r="D38" s="16">
        <v>201756</v>
      </c>
      <c r="E38" s="16">
        <v>19831.13</v>
      </c>
      <c r="F38" s="16">
        <v>204995.79</v>
      </c>
      <c r="G38" s="16">
        <v>17808.68</v>
      </c>
      <c r="H38" s="16">
        <v>189834</v>
      </c>
      <c r="I38" s="16">
        <v>19592</v>
      </c>
      <c r="J38" s="16">
        <v>305506</v>
      </c>
      <c r="K38" s="16">
        <v>23205</v>
      </c>
      <c r="L38" s="16">
        <v>215971.83</v>
      </c>
      <c r="M38" s="16">
        <v>217167.29</v>
      </c>
      <c r="N38" s="16">
        <v>226641.71</v>
      </c>
      <c r="O38" s="16">
        <v>103244.22</v>
      </c>
    </row>
    <row r="39" spans="1:15">
      <c r="A39" s="5" t="s">
        <v>89</v>
      </c>
      <c r="B39" s="3">
        <f t="shared" ref="B39:O39" si="5">(B38-B37)</f>
        <v>0.67000000001280569</v>
      </c>
      <c r="C39" s="3">
        <f t="shared" si="5"/>
        <v>279.47999999999956</v>
      </c>
      <c r="D39" s="3">
        <f t="shared" si="5"/>
        <v>-3239.7900000000081</v>
      </c>
      <c r="E39" s="3">
        <f t="shared" si="5"/>
        <v>239.13000000000102</v>
      </c>
      <c r="F39" s="3">
        <f t="shared" si="5"/>
        <v>0</v>
      </c>
      <c r="G39" s="3">
        <f t="shared" si="5"/>
        <v>-1783.3199999999997</v>
      </c>
      <c r="H39" s="3">
        <f t="shared" si="5"/>
        <v>-3645.7900000000081</v>
      </c>
      <c r="I39" s="3">
        <f t="shared" si="5"/>
        <v>0</v>
      </c>
      <c r="J39" s="3">
        <f t="shared" si="5"/>
        <v>-6074.5200000000186</v>
      </c>
      <c r="K39" s="3">
        <f t="shared" si="5"/>
        <v>-2917</v>
      </c>
      <c r="L39" s="3">
        <f t="shared" si="5"/>
        <v>0</v>
      </c>
      <c r="M39" s="3">
        <f t="shared" si="5"/>
        <v>1195.460000000021</v>
      </c>
      <c r="N39" s="3">
        <f t="shared" si="5"/>
        <v>-1000</v>
      </c>
      <c r="O39" s="3">
        <f t="shared" si="5"/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D9" sqref="D9"/>
    </sheetView>
  </sheetViews>
  <sheetFormatPr defaultColWidth="9" defaultRowHeight="14.4"/>
  <cols>
    <col min="1" max="1" width="9.6640625" customWidth="1"/>
    <col min="2" max="2" width="13.6640625" customWidth="1"/>
  </cols>
  <sheetData>
    <row r="1" spans="1:2">
      <c r="A1" s="4" t="s">
        <v>3</v>
      </c>
      <c r="B1" s="4" t="s">
        <v>92</v>
      </c>
    </row>
    <row r="2" spans="1:2">
      <c r="A2" s="2">
        <v>45938</v>
      </c>
      <c r="B2" s="3">
        <v>17000</v>
      </c>
    </row>
    <row r="3" spans="1:2">
      <c r="A3" s="2">
        <v>45938</v>
      </c>
      <c r="B3" s="3">
        <v>79500</v>
      </c>
    </row>
    <row r="4" spans="1:2">
      <c r="A4" s="2">
        <v>45938</v>
      </c>
      <c r="B4" s="3">
        <v>2500</v>
      </c>
    </row>
    <row r="5" spans="1:2">
      <c r="A5" s="2">
        <v>45939</v>
      </c>
      <c r="B5" s="3">
        <v>38380</v>
      </c>
    </row>
    <row r="6" spans="1:2">
      <c r="A6" s="2">
        <v>45944</v>
      </c>
      <c r="B6" s="3">
        <v>8650</v>
      </c>
    </row>
    <row r="7" spans="1:2">
      <c r="A7" s="2">
        <v>45971</v>
      </c>
      <c r="B7" s="3">
        <v>31500</v>
      </c>
    </row>
    <row r="8" spans="1:2">
      <c r="A8" s="2">
        <v>45971</v>
      </c>
      <c r="B8" s="3">
        <v>97500</v>
      </c>
    </row>
    <row r="9" spans="1:2">
      <c r="A9" s="2">
        <v>45971</v>
      </c>
      <c r="B9" s="3">
        <v>14000</v>
      </c>
    </row>
    <row r="10" spans="1:2">
      <c r="A10" s="2">
        <v>45971</v>
      </c>
      <c r="B10" s="3">
        <v>1000</v>
      </c>
    </row>
    <row r="11" spans="1:2">
      <c r="A11" s="2">
        <v>45971</v>
      </c>
      <c r="B11" s="3">
        <v>3760</v>
      </c>
    </row>
    <row r="12" spans="1:2">
      <c r="A12" s="2">
        <v>45974</v>
      </c>
      <c r="B12" s="3">
        <v>45800</v>
      </c>
    </row>
    <row r="13" spans="1:2">
      <c r="A13" s="2">
        <v>45974</v>
      </c>
      <c r="B13" s="3">
        <v>580</v>
      </c>
    </row>
    <row r="14" spans="1:2">
      <c r="A14" s="2">
        <v>46002</v>
      </c>
      <c r="B14" s="3">
        <v>35000</v>
      </c>
    </row>
    <row r="15" spans="1:2">
      <c r="A15" s="2">
        <v>46002</v>
      </c>
      <c r="B15" s="3">
        <v>800</v>
      </c>
    </row>
    <row r="16" spans="1:2">
      <c r="A16" s="2">
        <v>46002</v>
      </c>
      <c r="B16" s="3">
        <v>1500</v>
      </c>
    </row>
    <row r="17" spans="1:2">
      <c r="A17" s="2">
        <v>46003</v>
      </c>
      <c r="B17" s="3">
        <v>1570</v>
      </c>
    </row>
    <row r="18" spans="1:2">
      <c r="A18" s="2">
        <v>46003</v>
      </c>
      <c r="B18" s="3">
        <v>25000</v>
      </c>
    </row>
    <row r="19" spans="1:2">
      <c r="A19" s="2">
        <v>46007</v>
      </c>
      <c r="B19" s="3">
        <v>2810</v>
      </c>
    </row>
    <row r="20" spans="1:2">
      <c r="A20" s="66">
        <v>45670</v>
      </c>
      <c r="B20" s="3">
        <v>40610</v>
      </c>
    </row>
    <row r="21" spans="1:2">
      <c r="A21" s="66">
        <v>45677</v>
      </c>
      <c r="B21" s="3">
        <v>5663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C11" sqref="C11"/>
    </sheetView>
  </sheetViews>
  <sheetFormatPr defaultColWidth="9" defaultRowHeight="14.4"/>
  <cols>
    <col min="1" max="1" width="9.6640625" customWidth="1"/>
    <col min="2" max="2" width="17.21875" customWidth="1"/>
  </cols>
  <sheetData>
    <row r="1" spans="1:2">
      <c r="A1" s="1" t="s">
        <v>93</v>
      </c>
      <c r="B1" s="1" t="s">
        <v>94</v>
      </c>
    </row>
    <row r="2" spans="1:2">
      <c r="A2" s="2">
        <v>45976</v>
      </c>
      <c r="B2" s="3">
        <v>2000</v>
      </c>
    </row>
    <row r="3" spans="1:2">
      <c r="A3" s="2">
        <v>46039</v>
      </c>
      <c r="B3" s="3">
        <v>2000</v>
      </c>
    </row>
    <row r="4" spans="1:2">
      <c r="A4" s="2">
        <v>46039</v>
      </c>
      <c r="B4" s="3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C8D97-6C44-4794-BF50-13C03DC2E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Dhoot</cp:lastModifiedBy>
  <dcterms:created xsi:type="dcterms:W3CDTF">2025-12-23T09:26:00Z</dcterms:created>
  <dcterms:modified xsi:type="dcterms:W3CDTF">2026-02-18T12:27:50Z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173D2652BC4449EBB4B03FD1EAD61368_12</vt:lpwstr>
  </property>
  <property fmtid="{D5CDD505-2E9C-101B-9397-08002B2CF9AE}" pid="3" name="KSOProductBuildVer">
    <vt:lpwstr>1033-12.2.0.23196</vt:lpwstr>
  </property>
</Properties>
</file>