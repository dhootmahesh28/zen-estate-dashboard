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ootm\Desktop\Zen Estate\working data new 13\"/>
    </mc:Choice>
  </mc:AlternateContent>
  <xr:revisionPtr revIDLastSave="0" documentId="13_ncr:1_{4046F2F7-4C93-4B87-9261-37D56365D0B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5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39" i="1" l="1"/>
  <c r="G239" i="1"/>
  <c r="V235" i="1"/>
  <c r="U235" i="1"/>
  <c r="S235" i="1"/>
  <c r="R235" i="1"/>
  <c r="Q235" i="1"/>
  <c r="P235" i="1"/>
  <c r="O235" i="1"/>
  <c r="L235" i="1"/>
  <c r="K235" i="1"/>
  <c r="J235" i="1"/>
  <c r="I235" i="1"/>
  <c r="H235" i="1"/>
  <c r="G235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L233" i="1"/>
  <c r="K233" i="1"/>
  <c r="J233" i="1"/>
  <c r="I233" i="1"/>
  <c r="H233" i="1"/>
  <c r="G233" i="1"/>
  <c r="AS231" i="1"/>
  <c r="AR231" i="1"/>
  <c r="AQ231" i="1"/>
  <c r="AP231" i="1"/>
  <c r="AO231" i="1"/>
  <c r="AN231" i="1"/>
  <c r="AM231" i="1"/>
  <c r="AL231" i="1"/>
  <c r="AK231" i="1"/>
  <c r="AJ231" i="1"/>
  <c r="AI231" i="1"/>
  <c r="AH231" i="1"/>
  <c r="AG231" i="1"/>
  <c r="AF231" i="1"/>
  <c r="P222" i="1"/>
  <c r="G222" i="1"/>
  <c r="V218" i="1"/>
  <c r="P218" i="1"/>
  <c r="L218" i="1"/>
  <c r="J218" i="1"/>
  <c r="I218" i="1"/>
  <c r="H218" i="1"/>
  <c r="AC216" i="1"/>
  <c r="AB216" i="1"/>
  <c r="AA216" i="1"/>
  <c r="Z216" i="1"/>
  <c r="Y216" i="1"/>
  <c r="X216" i="1"/>
  <c r="W216" i="1"/>
  <c r="V216" i="1"/>
  <c r="U216" i="1"/>
  <c r="U218" i="1" s="1"/>
  <c r="T216" i="1"/>
  <c r="T218" i="1" s="1"/>
  <c r="S216" i="1"/>
  <c r="S218" i="1" s="1"/>
  <c r="R216" i="1"/>
  <c r="R218" i="1" s="1"/>
  <c r="Q216" i="1"/>
  <c r="Q218" i="1" s="1"/>
  <c r="P216" i="1"/>
  <c r="O216" i="1"/>
  <c r="O218" i="1" s="1"/>
  <c r="L216" i="1"/>
  <c r="K216" i="1"/>
  <c r="K218" i="1" s="1"/>
  <c r="J216" i="1"/>
  <c r="I216" i="1"/>
  <c r="H216" i="1"/>
  <c r="G216" i="1"/>
  <c r="AS214" i="1"/>
  <c r="AR214" i="1"/>
  <c r="AQ214" i="1"/>
  <c r="AP214" i="1"/>
  <c r="AO214" i="1"/>
  <c r="AN214" i="1"/>
  <c r="AM214" i="1"/>
  <c r="AL214" i="1"/>
  <c r="AK214" i="1"/>
  <c r="AJ214" i="1"/>
  <c r="AI214" i="1"/>
  <c r="AH214" i="1"/>
  <c r="AG214" i="1"/>
  <c r="AF214" i="1"/>
  <c r="AE231" i="1" l="1"/>
  <c r="J239" i="1"/>
  <c r="S239" i="1"/>
  <c r="M239" i="1"/>
  <c r="T235" i="1"/>
  <c r="S222" i="1"/>
  <c r="AE214" i="1"/>
  <c r="J222" i="1"/>
  <c r="M222" i="1" s="1"/>
  <c r="G218" i="1"/>
  <c r="G206" i="1" l="1"/>
  <c r="P206" i="1"/>
  <c r="L194" i="1"/>
  <c r="L200" i="1" s="1"/>
  <c r="G200" i="1"/>
  <c r="P200" i="1"/>
  <c r="Q200" i="1"/>
  <c r="R200" i="1"/>
  <c r="S200" i="1"/>
  <c r="T200" i="1"/>
  <c r="U200" i="1"/>
  <c r="V200" i="1"/>
  <c r="O200" i="1"/>
  <c r="I200" i="1"/>
  <c r="J200" i="1"/>
  <c r="K200" i="1"/>
  <c r="H200" i="1"/>
  <c r="P188" i="1"/>
  <c r="P172" i="1"/>
  <c r="P153" i="1"/>
  <c r="P134" i="1"/>
  <c r="P117" i="1"/>
  <c r="P101" i="1"/>
  <c r="P83" i="1"/>
  <c r="P68" i="1"/>
  <c r="P51" i="1"/>
  <c r="P35" i="1"/>
  <c r="P15" i="1"/>
  <c r="J206" i="1" l="1"/>
  <c r="M206" i="1" s="1"/>
  <c r="L176" i="1"/>
  <c r="L182" i="1" s="1"/>
  <c r="V182" i="1"/>
  <c r="H182" i="1"/>
  <c r="I182" i="1"/>
  <c r="J182" i="1"/>
  <c r="K182" i="1"/>
  <c r="O182" i="1"/>
  <c r="P182" i="1"/>
  <c r="Q182" i="1"/>
  <c r="R182" i="1"/>
  <c r="S182" i="1"/>
  <c r="T182" i="1"/>
  <c r="U182" i="1"/>
  <c r="W182" i="1"/>
  <c r="G182" i="1"/>
  <c r="V202" i="1"/>
  <c r="U202" i="1"/>
  <c r="T202" i="1"/>
  <c r="S202" i="1"/>
  <c r="R202" i="1"/>
  <c r="Q202" i="1"/>
  <c r="P202" i="1"/>
  <c r="O202" i="1"/>
  <c r="L202" i="1"/>
  <c r="K202" i="1"/>
  <c r="J202" i="1"/>
  <c r="I202" i="1"/>
  <c r="H202" i="1"/>
  <c r="G202" i="1"/>
  <c r="AC200" i="1"/>
  <c r="AB200" i="1"/>
  <c r="AA200" i="1"/>
  <c r="Z200" i="1"/>
  <c r="Y200" i="1"/>
  <c r="X200" i="1"/>
  <c r="W200" i="1"/>
  <c r="AS198" i="1"/>
  <c r="AR198" i="1"/>
  <c r="AQ198" i="1"/>
  <c r="AP198" i="1"/>
  <c r="AO198" i="1"/>
  <c r="AN198" i="1"/>
  <c r="AM198" i="1"/>
  <c r="AL198" i="1"/>
  <c r="AK198" i="1"/>
  <c r="AJ198" i="1"/>
  <c r="AI198" i="1"/>
  <c r="AH198" i="1"/>
  <c r="AG198" i="1"/>
  <c r="AF198" i="1"/>
  <c r="L162" i="1"/>
  <c r="L161" i="1"/>
  <c r="AE198" i="1" l="1"/>
  <c r="J188" i="1"/>
  <c r="S206" i="1"/>
  <c r="L160" i="1"/>
  <c r="L166" i="1" s="1"/>
  <c r="G51" i="1" l="1"/>
  <c r="H166" i="1"/>
  <c r="I166" i="1"/>
  <c r="J166" i="1"/>
  <c r="K166" i="1"/>
  <c r="O166" i="1"/>
  <c r="P166" i="1"/>
  <c r="Q166" i="1"/>
  <c r="R166" i="1"/>
  <c r="S166" i="1"/>
  <c r="T166" i="1"/>
  <c r="U166" i="1"/>
  <c r="V166" i="1"/>
  <c r="W166" i="1"/>
  <c r="G166" i="1"/>
  <c r="G147" i="1"/>
  <c r="G188" i="1" l="1"/>
  <c r="V184" i="1"/>
  <c r="U184" i="1"/>
  <c r="T184" i="1"/>
  <c r="S184" i="1"/>
  <c r="R184" i="1"/>
  <c r="Q184" i="1"/>
  <c r="P184" i="1"/>
  <c r="O184" i="1"/>
  <c r="L184" i="1"/>
  <c r="K184" i="1"/>
  <c r="J184" i="1"/>
  <c r="I184" i="1"/>
  <c r="H184" i="1"/>
  <c r="G184" i="1"/>
  <c r="AC182" i="1"/>
  <c r="AB182" i="1"/>
  <c r="AA182" i="1"/>
  <c r="Z182" i="1"/>
  <c r="Y182" i="1"/>
  <c r="X182" i="1"/>
  <c r="AS180" i="1"/>
  <c r="AR180" i="1"/>
  <c r="AQ180" i="1"/>
  <c r="AP180" i="1"/>
  <c r="AO180" i="1"/>
  <c r="AN180" i="1"/>
  <c r="AM180" i="1"/>
  <c r="AL180" i="1"/>
  <c r="AK180" i="1"/>
  <c r="AJ180" i="1"/>
  <c r="AI180" i="1"/>
  <c r="AH180" i="1"/>
  <c r="AG180" i="1"/>
  <c r="AF180" i="1"/>
  <c r="S188" i="1" l="1"/>
  <c r="AE180" i="1"/>
  <c r="M188" i="1"/>
  <c r="O168" i="1"/>
  <c r="H168" i="1"/>
  <c r="O147" i="1"/>
  <c r="O149" i="1" s="1"/>
  <c r="L141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I168" i="1"/>
  <c r="J168" i="1"/>
  <c r="K168" i="1"/>
  <c r="L168" i="1"/>
  <c r="P168" i="1"/>
  <c r="Q168" i="1"/>
  <c r="S168" i="1"/>
  <c r="T168" i="1"/>
  <c r="U168" i="1"/>
  <c r="V168" i="1"/>
  <c r="X166" i="1"/>
  <c r="Y166" i="1"/>
  <c r="Z166" i="1"/>
  <c r="AA166" i="1"/>
  <c r="AB166" i="1"/>
  <c r="AC166" i="1"/>
  <c r="R168" i="1"/>
  <c r="G172" i="1"/>
  <c r="G153" i="1"/>
  <c r="L124" i="1"/>
  <c r="AC147" i="1"/>
  <c r="AB147" i="1"/>
  <c r="AA147" i="1"/>
  <c r="Z147" i="1"/>
  <c r="Y147" i="1"/>
  <c r="X147" i="1"/>
  <c r="W147" i="1"/>
  <c r="V147" i="1"/>
  <c r="V149" i="1" s="1"/>
  <c r="U147" i="1"/>
  <c r="U149" i="1" s="1"/>
  <c r="T147" i="1"/>
  <c r="T149" i="1" s="1"/>
  <c r="S147" i="1"/>
  <c r="S149" i="1" s="1"/>
  <c r="R147" i="1"/>
  <c r="R149" i="1" s="1"/>
  <c r="Q147" i="1"/>
  <c r="Q149" i="1" s="1"/>
  <c r="P147" i="1"/>
  <c r="P149" i="1" s="1"/>
  <c r="K147" i="1"/>
  <c r="K149" i="1" s="1"/>
  <c r="J147" i="1"/>
  <c r="J149" i="1" s="1"/>
  <c r="I147" i="1"/>
  <c r="I149" i="1" s="1"/>
  <c r="H147" i="1"/>
  <c r="G149" i="1"/>
  <c r="AS145" i="1"/>
  <c r="AR145" i="1"/>
  <c r="AQ145" i="1"/>
  <c r="AP145" i="1"/>
  <c r="AO145" i="1"/>
  <c r="AN145" i="1"/>
  <c r="AM145" i="1"/>
  <c r="AL145" i="1"/>
  <c r="AK145" i="1"/>
  <c r="AJ145" i="1"/>
  <c r="AI145" i="1"/>
  <c r="AH145" i="1"/>
  <c r="AG145" i="1"/>
  <c r="AF145" i="1"/>
  <c r="L147" i="1"/>
  <c r="L123" i="1"/>
  <c r="W128" i="1"/>
  <c r="L122" i="1"/>
  <c r="L105" i="1"/>
  <c r="L111" i="1" s="1"/>
  <c r="G128" i="1"/>
  <c r="G130" i="1" s="1"/>
  <c r="H128" i="1"/>
  <c r="H130" i="1" s="1"/>
  <c r="I128" i="1"/>
  <c r="I130" i="1" s="1"/>
  <c r="J128" i="1"/>
  <c r="J130" i="1" s="1"/>
  <c r="K128" i="1"/>
  <c r="K130" i="1" s="1"/>
  <c r="O128" i="1"/>
  <c r="O130" i="1" s="1"/>
  <c r="P128" i="1"/>
  <c r="P130" i="1" s="1"/>
  <c r="Q128" i="1"/>
  <c r="Q130" i="1" s="1"/>
  <c r="R128" i="1"/>
  <c r="R130" i="1" s="1"/>
  <c r="S128" i="1"/>
  <c r="S130" i="1" s="1"/>
  <c r="T128" i="1"/>
  <c r="T130" i="1" s="1"/>
  <c r="U128" i="1"/>
  <c r="U130" i="1" s="1"/>
  <c r="V128" i="1"/>
  <c r="V130" i="1" s="1"/>
  <c r="V111" i="1"/>
  <c r="G134" i="1"/>
  <c r="G117" i="1"/>
  <c r="G35" i="1"/>
  <c r="G101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AF126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F27" i="1"/>
  <c r="AG27" i="1"/>
  <c r="AI27" i="1"/>
  <c r="AJ27" i="1"/>
  <c r="AK27" i="1"/>
  <c r="AL27" i="1"/>
  <c r="AM27" i="1"/>
  <c r="AN27" i="1"/>
  <c r="AO27" i="1"/>
  <c r="AP27" i="1"/>
  <c r="AQ27" i="1"/>
  <c r="AR27" i="1"/>
  <c r="AS27" i="1"/>
  <c r="AH27" i="1"/>
  <c r="I111" i="1"/>
  <c r="AC77" i="1"/>
  <c r="AC95" i="1"/>
  <c r="AC128" i="1"/>
  <c r="AC111" i="1"/>
  <c r="AB128" i="1"/>
  <c r="AA128" i="1"/>
  <c r="Z128" i="1"/>
  <c r="Y128" i="1"/>
  <c r="X128" i="1"/>
  <c r="S134" i="1" s="1"/>
  <c r="W111" i="1"/>
  <c r="H111" i="1"/>
  <c r="J111" i="1"/>
  <c r="K111" i="1"/>
  <c r="O111" i="1"/>
  <c r="P111" i="1"/>
  <c r="Q111" i="1"/>
  <c r="R111" i="1"/>
  <c r="S111" i="1"/>
  <c r="T111" i="1"/>
  <c r="U111" i="1"/>
  <c r="G111" i="1"/>
  <c r="G95" i="1"/>
  <c r="L90" i="1"/>
  <c r="G83" i="1"/>
  <c r="G68" i="1"/>
  <c r="S172" i="1" l="1"/>
  <c r="S153" i="1"/>
  <c r="H149" i="1"/>
  <c r="AE164" i="1"/>
  <c r="J172" i="1" s="1"/>
  <c r="M172" i="1" s="1"/>
  <c r="G168" i="1"/>
  <c r="AE27" i="1"/>
  <c r="AE43" i="1"/>
  <c r="AE75" i="1"/>
  <c r="AE145" i="1"/>
  <c r="J153" i="1" s="1"/>
  <c r="M153" i="1" s="1"/>
  <c r="L149" i="1"/>
  <c r="L128" i="1"/>
  <c r="L130" i="1" s="1"/>
  <c r="AE126" i="1"/>
  <c r="J117" i="1"/>
  <c r="M117" i="1" s="1"/>
  <c r="AE109" i="1"/>
  <c r="AE93" i="1"/>
  <c r="AE60" i="1"/>
  <c r="J134" i="1" l="1"/>
  <c r="M134" i="1" s="1"/>
  <c r="AB95" i="1"/>
  <c r="AB77" i="1"/>
  <c r="Z29" i="1"/>
  <c r="Y29" i="1"/>
  <c r="Y9" i="1"/>
  <c r="X9" i="1"/>
  <c r="AB111" i="1"/>
  <c r="L89" i="1"/>
  <c r="L95" i="1" s="1"/>
  <c r="L97" i="1" s="1"/>
  <c r="L71" i="1"/>
  <c r="L77" i="1" s="1"/>
  <c r="L79" i="1" s="1"/>
  <c r="H95" i="1"/>
  <c r="I95" i="1"/>
  <c r="I97" i="1" s="1"/>
  <c r="J95" i="1"/>
  <c r="J97" i="1" s="1"/>
  <c r="K95" i="1"/>
  <c r="K97" i="1" s="1"/>
  <c r="O95" i="1"/>
  <c r="O97" i="1" s="1"/>
  <c r="P95" i="1"/>
  <c r="P97" i="1" s="1"/>
  <c r="Q95" i="1"/>
  <c r="R95" i="1"/>
  <c r="R97" i="1" s="1"/>
  <c r="S95" i="1"/>
  <c r="S97" i="1" s="1"/>
  <c r="T95" i="1"/>
  <c r="T97" i="1" s="1"/>
  <c r="U95" i="1"/>
  <c r="U97" i="1" s="1"/>
  <c r="V95" i="1"/>
  <c r="V97" i="1" s="1"/>
  <c r="W95" i="1"/>
  <c r="G97" i="1"/>
  <c r="G77" i="1"/>
  <c r="G79" i="1" s="1"/>
  <c r="V113" i="1"/>
  <c r="U113" i="1"/>
  <c r="T113" i="1"/>
  <c r="S113" i="1"/>
  <c r="R113" i="1"/>
  <c r="Q113" i="1"/>
  <c r="P113" i="1"/>
  <c r="O113" i="1"/>
  <c r="L113" i="1"/>
  <c r="K113" i="1"/>
  <c r="J113" i="1"/>
  <c r="I113" i="1"/>
  <c r="H113" i="1"/>
  <c r="G113" i="1"/>
  <c r="AA111" i="1"/>
  <c r="Z111" i="1"/>
  <c r="Y111" i="1"/>
  <c r="X111" i="1"/>
  <c r="S117" i="1" s="1"/>
  <c r="AA95" i="1"/>
  <c r="Z95" i="1"/>
  <c r="Y95" i="1"/>
  <c r="X95" i="1"/>
  <c r="L56" i="1"/>
  <c r="Y45" i="1"/>
  <c r="Y62" i="1"/>
  <c r="Y77" i="1"/>
  <c r="Z62" i="1"/>
  <c r="X62" i="1"/>
  <c r="S68" i="1" s="1"/>
  <c r="AA77" i="1"/>
  <c r="Z77" i="1"/>
  <c r="X77" i="1"/>
  <c r="H77" i="1"/>
  <c r="H79" i="1" s="1"/>
  <c r="I77" i="1"/>
  <c r="I79" i="1" s="1"/>
  <c r="J77" i="1"/>
  <c r="J79" i="1" s="1"/>
  <c r="K77" i="1"/>
  <c r="K79" i="1" s="1"/>
  <c r="O77" i="1"/>
  <c r="O79" i="1" s="1"/>
  <c r="P77" i="1"/>
  <c r="P79" i="1" s="1"/>
  <c r="Q77" i="1"/>
  <c r="Q79" i="1" s="1"/>
  <c r="R77" i="1"/>
  <c r="R79" i="1" s="1"/>
  <c r="S77" i="1"/>
  <c r="S79" i="1" s="1"/>
  <c r="T77" i="1"/>
  <c r="T79" i="1" s="1"/>
  <c r="U77" i="1"/>
  <c r="U79" i="1" s="1"/>
  <c r="V77" i="1"/>
  <c r="V79" i="1" s="1"/>
  <c r="W77" i="1"/>
  <c r="H9" i="1"/>
  <c r="L57" i="1"/>
  <c r="G15" i="1"/>
  <c r="S101" i="1" l="1"/>
  <c r="S83" i="1"/>
  <c r="J101" i="1"/>
  <c r="M101" i="1" s="1"/>
  <c r="H97" i="1"/>
  <c r="J83" i="1"/>
  <c r="M83" i="1" s="1"/>
  <c r="Q97" i="1"/>
  <c r="L5" i="1" l="1"/>
  <c r="L4" i="1"/>
  <c r="J45" i="1"/>
  <c r="J47" i="1" s="1"/>
  <c r="I45" i="1"/>
  <c r="I47" i="1" s="1"/>
  <c r="L62" i="1"/>
  <c r="L64" i="1" s="1"/>
  <c r="Z9" i="1"/>
  <c r="X29" i="1"/>
  <c r="S35" i="1" s="1"/>
  <c r="W29" i="1"/>
  <c r="L39" i="1"/>
  <c r="L45" i="1" s="1"/>
  <c r="L47" i="1" s="1"/>
  <c r="W62" i="1"/>
  <c r="H62" i="1"/>
  <c r="H64" i="1" s="1"/>
  <c r="I62" i="1"/>
  <c r="I64" i="1" s="1"/>
  <c r="J62" i="1"/>
  <c r="J64" i="1" s="1"/>
  <c r="K62" i="1"/>
  <c r="K64" i="1" s="1"/>
  <c r="O62" i="1"/>
  <c r="O64" i="1" s="1"/>
  <c r="P62" i="1"/>
  <c r="P64" i="1" s="1"/>
  <c r="Q62" i="1"/>
  <c r="R62" i="1"/>
  <c r="R64" i="1" s="1"/>
  <c r="S62" i="1"/>
  <c r="S64" i="1" s="1"/>
  <c r="T62" i="1"/>
  <c r="U62" i="1"/>
  <c r="U64" i="1" s="1"/>
  <c r="V62" i="1"/>
  <c r="V64" i="1" s="1"/>
  <c r="G62" i="1"/>
  <c r="H29" i="1"/>
  <c r="H31" i="1" s="1"/>
  <c r="H11" i="1"/>
  <c r="L23" i="1"/>
  <c r="L29" i="1" s="1"/>
  <c r="L31" i="1" s="1"/>
  <c r="W45" i="1"/>
  <c r="Z45" i="1"/>
  <c r="X45" i="1"/>
  <c r="V45" i="1"/>
  <c r="V47" i="1" s="1"/>
  <c r="U45" i="1"/>
  <c r="U47" i="1" s="1"/>
  <c r="T45" i="1"/>
  <c r="T47" i="1" s="1"/>
  <c r="S45" i="1"/>
  <c r="S47" i="1" s="1"/>
  <c r="R45" i="1"/>
  <c r="R47" i="1" s="1"/>
  <c r="Q45" i="1"/>
  <c r="Q47" i="1" s="1"/>
  <c r="P45" i="1"/>
  <c r="P47" i="1" s="1"/>
  <c r="O45" i="1"/>
  <c r="O47" i="1" s="1"/>
  <c r="K45" i="1"/>
  <c r="K47" i="1" s="1"/>
  <c r="H45" i="1"/>
  <c r="H47" i="1" s="1"/>
  <c r="G45" i="1"/>
  <c r="V29" i="1"/>
  <c r="V31" i="1" s="1"/>
  <c r="U29" i="1"/>
  <c r="U31" i="1" s="1"/>
  <c r="T29" i="1"/>
  <c r="T31" i="1" s="1"/>
  <c r="S29" i="1"/>
  <c r="S31" i="1" s="1"/>
  <c r="R29" i="1"/>
  <c r="R31" i="1" s="1"/>
  <c r="Q29" i="1"/>
  <c r="Q31" i="1" s="1"/>
  <c r="P29" i="1"/>
  <c r="P31" i="1" s="1"/>
  <c r="O29" i="1"/>
  <c r="O31" i="1" s="1"/>
  <c r="K29" i="1"/>
  <c r="K31" i="1" s="1"/>
  <c r="J29" i="1"/>
  <c r="J31" i="1" s="1"/>
  <c r="I29" i="1"/>
  <c r="I31" i="1" s="1"/>
  <c r="G29" i="1"/>
  <c r="W9" i="1"/>
  <c r="V9" i="1"/>
  <c r="V11" i="1" s="1"/>
  <c r="U9" i="1"/>
  <c r="U11" i="1" s="1"/>
  <c r="T9" i="1"/>
  <c r="T11" i="1" s="1"/>
  <c r="S9" i="1"/>
  <c r="S11" i="1" s="1"/>
  <c r="R9" i="1"/>
  <c r="R11" i="1" s="1"/>
  <c r="Q9" i="1"/>
  <c r="Q11" i="1" s="1"/>
  <c r="P9" i="1"/>
  <c r="P11" i="1" s="1"/>
  <c r="O9" i="1"/>
  <c r="O11" i="1" s="1"/>
  <c r="K9" i="1"/>
  <c r="K11" i="1" s="1"/>
  <c r="J9" i="1"/>
  <c r="J11" i="1" s="1"/>
  <c r="I9" i="1"/>
  <c r="I11" i="1" s="1"/>
  <c r="G9" i="1"/>
  <c r="J35" i="1" l="1"/>
  <c r="M35" i="1" s="1"/>
  <c r="G31" i="1"/>
  <c r="G47" i="1"/>
  <c r="J51" i="1"/>
  <c r="M51" i="1" s="1"/>
  <c r="G64" i="1"/>
  <c r="J68" i="1"/>
  <c r="M68" i="1" s="1"/>
  <c r="S51" i="1"/>
  <c r="S15" i="1"/>
  <c r="L9" i="1"/>
  <c r="L11" i="1" s="1"/>
  <c r="T64" i="1"/>
  <c r="Q64" i="1"/>
  <c r="G11" i="1"/>
  <c r="AK8" i="1"/>
  <c r="AR8" i="1"/>
  <c r="AG8" i="1"/>
  <c r="M15" i="1"/>
  <c r="AF8" i="1"/>
  <c r="AE8" i="1"/>
  <c r="J15" i="1"/>
  <c r="AM8" i="1"/>
  <c r="AJ8" i="1"/>
  <c r="AS8" i="1"/>
  <c r="AH8" i="1"/>
  <c r="AO8" i="1"/>
  <c r="AQ8" i="1"/>
  <c r="AN8" i="1"/>
  <c r="AP8" i="1"/>
  <c r="AL8" i="1"/>
  <c r="AI8" i="1"/>
</calcChain>
</file>

<file path=xl/sharedStrings.xml><?xml version="1.0" encoding="utf-8"?>
<sst xmlns="http://schemas.openxmlformats.org/spreadsheetml/2006/main" count="1492" uniqueCount="205">
  <si>
    <t>Opening Balance = 11,52,000/-</t>
  </si>
  <si>
    <t>Sep 2025 Vendor Bills (Paid in Oct)</t>
  </si>
  <si>
    <t>Sr. No</t>
  </si>
  <si>
    <t>Date</t>
  </si>
  <si>
    <t>Vendor Name</t>
  </si>
  <si>
    <t>Amount Paid</t>
  </si>
  <si>
    <t xml:space="preserve">Wing </t>
  </si>
  <si>
    <t>A Wing</t>
  </si>
  <si>
    <t>A Shop</t>
  </si>
  <si>
    <t>B Wing</t>
  </si>
  <si>
    <t>B Shop</t>
  </si>
  <si>
    <t>C Wing</t>
  </si>
  <si>
    <t>C Shop Total</t>
  </si>
  <si>
    <t>C Shop Rahul</t>
  </si>
  <si>
    <t>C Shop Sagar</t>
  </si>
  <si>
    <t>D Wing</t>
  </si>
  <si>
    <t>D Shop</t>
  </si>
  <si>
    <t>E Wing</t>
  </si>
  <si>
    <t>E Shop</t>
  </si>
  <si>
    <t>F Wing</t>
  </si>
  <si>
    <t>G Wing</t>
  </si>
  <si>
    <t>H Wing</t>
  </si>
  <si>
    <t>I Wing</t>
  </si>
  <si>
    <t>NBH</t>
  </si>
  <si>
    <t>Cash Received</t>
  </si>
  <si>
    <t>30-09-2025</t>
  </si>
  <si>
    <t>Arun Walture(Quinteze FMS)</t>
  </si>
  <si>
    <t>Amount received</t>
  </si>
  <si>
    <t>Pandve's Security Services</t>
  </si>
  <si>
    <t>Sachin Water Supplier</t>
  </si>
  <si>
    <t>Silver Streak Enterprises</t>
  </si>
  <si>
    <t>Nilesh Gavali</t>
  </si>
  <si>
    <t>Barge Enterprises</t>
  </si>
  <si>
    <t>Total Amount Received per Wing</t>
  </si>
  <si>
    <t>Dass Enterprise</t>
  </si>
  <si>
    <t>Total Amount To be Received</t>
  </si>
  <si>
    <t>Securise Services  (Housekeeping)</t>
  </si>
  <si>
    <t>Sarupa Ram (Vedant Enterprises)</t>
  </si>
  <si>
    <t>Sachin Water</t>
  </si>
  <si>
    <t>Pandve Security</t>
  </si>
  <si>
    <t>Securise HK</t>
  </si>
  <si>
    <t>Arun Quinteze</t>
  </si>
  <si>
    <t>Dass Entp</t>
  </si>
  <si>
    <t>Vendant Entp (Sarupa Ram)</t>
  </si>
  <si>
    <t>Barge Entp</t>
  </si>
  <si>
    <t>Silver Streak Entp</t>
  </si>
  <si>
    <t>Nilesh Gavli Garbage</t>
  </si>
  <si>
    <t>Safe hygyine Pest Control</t>
  </si>
  <si>
    <t>Shree Water Tank Cleaning</t>
  </si>
  <si>
    <t>VisionMax Entp</t>
  </si>
  <si>
    <t>Common Electricity</t>
  </si>
  <si>
    <t>STP Electricity</t>
  </si>
  <si>
    <t>Barricades</t>
  </si>
  <si>
    <t>NBH ERP</t>
  </si>
  <si>
    <t>NBH Pinless</t>
  </si>
  <si>
    <t>Pallavi Architect</t>
  </si>
  <si>
    <t>Diwali Gift</t>
  </si>
  <si>
    <t>Safe &amp; Hygiene Solutions</t>
  </si>
  <si>
    <t>Shree Water Tank Cleaning Services</t>
  </si>
  <si>
    <t>Amount</t>
  </si>
  <si>
    <t>Visionmax Enterprises</t>
  </si>
  <si>
    <t>STP Electricity Bill September 2025</t>
  </si>
  <si>
    <t>NBH Pinless System</t>
  </si>
  <si>
    <t>NBH ERP System</t>
  </si>
  <si>
    <t>Future Secure Safety (Barricades)</t>
  </si>
  <si>
    <t>Oct 2025 Vendor Bills (Paid in Nov)</t>
  </si>
  <si>
    <t>31-10-2025</t>
  </si>
  <si>
    <t>Securise Services (Housekeeping)</t>
  </si>
  <si>
    <t>Harakchand Deepchand Patava (Diwali Gift )</t>
  </si>
  <si>
    <t>Nov 2025 Vendor Bills (Paid in Dec)</t>
  </si>
  <si>
    <t>Event</t>
  </si>
  <si>
    <t>30-11-2025</t>
  </si>
  <si>
    <t>Amar Suryawanshi</t>
  </si>
  <si>
    <t>Drainage</t>
  </si>
  <si>
    <t>Abhijeet Bhimrao Jadav</t>
  </si>
  <si>
    <t>Ladder &amp; disposal Debris</t>
  </si>
  <si>
    <t>Dec 2025 Vendor Bills (Paid in Jan 2026)</t>
  </si>
  <si>
    <t>Difference</t>
  </si>
  <si>
    <t>Rahul</t>
  </si>
  <si>
    <t>Sagar</t>
  </si>
  <si>
    <t>Fine</t>
  </si>
  <si>
    <t>Total Amount To be Received per Wing</t>
  </si>
  <si>
    <t>Extra Income</t>
  </si>
  <si>
    <t>Total Nov 2025 Expense</t>
  </si>
  <si>
    <t xml:space="preserve">Pending Amount </t>
  </si>
  <si>
    <t>Samrudhi Services (Housekeeping)</t>
  </si>
  <si>
    <t>Samrudhi HK</t>
  </si>
  <si>
    <t>Quinteze</t>
  </si>
  <si>
    <t>HK</t>
  </si>
  <si>
    <t>Total</t>
  </si>
  <si>
    <t>Total Sep 2025 Expense</t>
  </si>
  <si>
    <t>Total Oct 2025 Expense</t>
  </si>
  <si>
    <t>Total Dec 2025 Expense</t>
  </si>
  <si>
    <t>Comman Electrcity September 2025</t>
  </si>
  <si>
    <t>STP Electricity Bill October 2025</t>
  </si>
  <si>
    <t>Comman Electrcity October 2025</t>
  </si>
  <si>
    <t>STP Electricity Bill November 2025</t>
  </si>
  <si>
    <t>Comman Electrcity November 2025</t>
  </si>
  <si>
    <t>STP Electricity Bill December 2025</t>
  </si>
  <si>
    <t>Comman Electrcity December 2025</t>
  </si>
  <si>
    <t>26th January Celebration</t>
  </si>
  <si>
    <t>Jan 2026 Vendor Bills (Paid in Feb 2026)</t>
  </si>
  <si>
    <t>STP Electricity Bill Jan 2026</t>
  </si>
  <si>
    <t>Comman Electrcity Jan 2026</t>
  </si>
  <si>
    <t>Scrap</t>
  </si>
  <si>
    <t>Lift</t>
  </si>
  <si>
    <t>Feb 2026 Vendor Bills (Paid in Mar 2026)</t>
  </si>
  <si>
    <t>Comman Electrcity Feb 2026</t>
  </si>
  <si>
    <t>STP Electricity Bill Feb 2026</t>
  </si>
  <si>
    <t>MST Tools</t>
  </si>
  <si>
    <t>Mar 2026 Vendor Bills (Paid in Apr 2026)</t>
  </si>
  <si>
    <t>STP Electricity Bill Mar 2026</t>
  </si>
  <si>
    <t>Comman Electrcity Mar 2026</t>
  </si>
  <si>
    <t>Parking Fine</t>
  </si>
  <si>
    <t>Frontline Pest Control</t>
  </si>
  <si>
    <t>Yash Enterprises</t>
  </si>
  <si>
    <t>Security</t>
  </si>
  <si>
    <t>STP</t>
  </si>
  <si>
    <t>drainage bifurcation issue</t>
  </si>
  <si>
    <t>Central hardware &amp; Abhiraj electricals</t>
  </si>
  <si>
    <t>Apr 2026 Vendor Bills (Paid in May 2026)</t>
  </si>
  <si>
    <t>Central Hardware &amp; Abhirak electricals</t>
  </si>
  <si>
    <t>Santosh Water Tanker</t>
  </si>
  <si>
    <t>MST fine</t>
  </si>
  <si>
    <t>Vendors</t>
  </si>
  <si>
    <t>C Shop</t>
  </si>
  <si>
    <t>HK for Meter</t>
  </si>
  <si>
    <t>Quinteze  management fee</t>
  </si>
  <si>
    <t>Gardner</t>
  </si>
  <si>
    <t>AM Enterprises</t>
  </si>
  <si>
    <t>AM Enterprises (F,G,H,I only)</t>
  </si>
  <si>
    <t>Clubhouse door rapair</t>
  </si>
  <si>
    <t>Club House door repair</t>
  </si>
  <si>
    <t>ClubHouse Booking &amp; Gym</t>
  </si>
  <si>
    <t>ClubHouse Booking  &amp; Gym</t>
  </si>
  <si>
    <t>Comman Electrcity Apr 2026</t>
  </si>
  <si>
    <t>STP Electricity Bill Apr 2026</t>
  </si>
  <si>
    <t>May 2026 Vendor Bills (Paid in June 2026)</t>
  </si>
  <si>
    <t>STP Electricity Bill May 2026</t>
  </si>
  <si>
    <t>Comman Electrcity May 2026</t>
  </si>
  <si>
    <t>Club House Door repair</t>
  </si>
  <si>
    <t>FMS</t>
  </si>
  <si>
    <t>Santosh Water</t>
  </si>
  <si>
    <t>Naksh (HK)</t>
  </si>
  <si>
    <t>Komal Enterprises(HK)</t>
  </si>
  <si>
    <t>Garbage Disposal</t>
  </si>
  <si>
    <t>Exit gate and parking repair</t>
  </si>
  <si>
    <t>June 2026 Vendor Bills (Paid in July 2026)</t>
  </si>
  <si>
    <t>STP Electricity Bill June 2026</t>
  </si>
  <si>
    <t>Comman Electrcity June 2026</t>
  </si>
  <si>
    <t>Laptop</t>
  </si>
  <si>
    <t>DG 5 years AMC</t>
  </si>
  <si>
    <t xml:space="preserve">Architect </t>
  </si>
  <si>
    <t>Laptops- 2</t>
  </si>
  <si>
    <t>KR Security Services</t>
  </si>
  <si>
    <t>KR Security</t>
  </si>
  <si>
    <t>Pandhare Water Supplier</t>
  </si>
  <si>
    <t xml:space="preserve">Pandhare Water </t>
  </si>
  <si>
    <t>July 2026 Vendor Bills (Paid in August 2026)</t>
  </si>
  <si>
    <t>STP Electricity Bill July 2026</t>
  </si>
  <si>
    <t>Comman Electrcity July 2026</t>
  </si>
  <si>
    <t>Global STP</t>
  </si>
  <si>
    <t>STP 1st Installment</t>
  </si>
  <si>
    <t>Gym Maintenance</t>
  </si>
  <si>
    <t>Swimming Pool Work</t>
  </si>
  <si>
    <t>Solar Inverter Purchase</t>
  </si>
  <si>
    <t>STP 2nd Installment</t>
  </si>
  <si>
    <t>STP Carbon Filter</t>
  </si>
  <si>
    <t>Swimming pool work</t>
  </si>
  <si>
    <t>August 2026 Vendor Bills (Paid in Sep 2026)</t>
  </si>
  <si>
    <t>STP Electricity Bill August 2026</t>
  </si>
  <si>
    <t>Comman Electrcity August 2026</t>
  </si>
  <si>
    <t>Swimming Pool</t>
  </si>
  <si>
    <t>Stage Construction</t>
  </si>
  <si>
    <t>Construction work at B2, WTP &amp; main gate</t>
  </si>
  <si>
    <t>120 Tubes, 8 Flood lights &amp; wire</t>
  </si>
  <si>
    <t>FM Team Uniform</t>
  </si>
  <si>
    <t xml:space="preserve">FM Team Uniform </t>
  </si>
  <si>
    <t>4 AC Servicing and Gas Refill</t>
  </si>
  <si>
    <t>Gym Glass Door Granite Replacemnt</t>
  </si>
  <si>
    <t>Diesel Re-filling</t>
  </si>
  <si>
    <t>STP Global Enviro 1st Installment</t>
  </si>
  <si>
    <t>STP Global Enviro 2nd Installment</t>
  </si>
  <si>
    <t xml:space="preserve">STP Carbon Filter </t>
  </si>
  <si>
    <t>STP Effluent Transfer Pump</t>
  </si>
  <si>
    <t>STP Sludge Transfer Pump</t>
  </si>
  <si>
    <t>15th Aug refreshment &amp; decoration</t>
  </si>
  <si>
    <t>Nursary tree plantation</t>
  </si>
  <si>
    <t>Media Cleaning</t>
  </si>
  <si>
    <t>100 Chairs</t>
  </si>
  <si>
    <t>Wardrobe for office</t>
  </si>
  <si>
    <t>garden Pipe for watering</t>
  </si>
  <si>
    <t>Club house panel lights</t>
  </si>
  <si>
    <t>100 mtr Polycab wire</t>
  </si>
  <si>
    <t>DG Servicing</t>
  </si>
  <si>
    <t>Repair Bypass Pump</t>
  </si>
  <si>
    <t>Pipeline Bracket work in B1</t>
  </si>
  <si>
    <t>Fire AMC</t>
  </si>
  <si>
    <t>Leela Fund Expense Details</t>
  </si>
  <si>
    <t>September 2026 Vendor Bills (Paid in Oct 2026)</t>
  </si>
  <si>
    <t>STP Electricity Bill Sep 2026</t>
  </si>
  <si>
    <t>Comman Electrcity Sep 2026</t>
  </si>
  <si>
    <t>October 2026 Vendor Bills (Paid in Nov 2026)</t>
  </si>
  <si>
    <t>STP Electricity Bill Oct 2026</t>
  </si>
  <si>
    <t>Comman Electrcity Oct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</si>
</sst>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8"/>
      <name val="Calibri"/>
      <charset val="134"/>
      <scheme val="minor"/>
    </font>
    <font>
      <b/>
      <sz val="14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6">
    <xf numFmtId="0" fontId="0" fillId="0" borderId="0" xfId="0"/>
    <xf numFmtId="44" fontId="0" fillId="0" borderId="1" xfId="0" applyNumberFormat="1" applyBorder="1"/>
    <xf numFmtId="0" fontId="0" fillId="0" borderId="1" xfId="0" applyBorder="1" applyAlignment="1">
      <alignment horizontal="center" vertical="center"/>
    </xf>
    <xf numFmtId="44" fontId="4" fillId="3" borderId="1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2" borderId="0" xfId="0" applyFill="1"/>
    <xf numFmtId="0" fontId="4" fillId="6" borderId="3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top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left"/>
    </xf>
    <xf numFmtId="44" fontId="0" fillId="0" borderId="1" xfId="0" applyNumberFormat="1" applyBorder="1" applyAlignment="1">
      <alignment horizontal="center" vertical="center"/>
    </xf>
    <xf numFmtId="44" fontId="0" fillId="8" borderId="1" xfId="0" applyNumberFormat="1" applyFill="1" applyBorder="1" applyAlignment="1">
      <alignment horizontal="center" vertical="center"/>
    </xf>
    <xf numFmtId="44" fontId="4" fillId="3" borderId="5" xfId="0" applyNumberFormat="1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horizontal="left"/>
    </xf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left"/>
    </xf>
    <xf numFmtId="0" fontId="0" fillId="11" borderId="1" xfId="0" applyFill="1" applyBorder="1" applyAlignment="1">
      <alignment horizontal="center"/>
    </xf>
    <xf numFmtId="14" fontId="0" fillId="11" borderId="1" xfId="0" applyNumberFormat="1" applyFill="1" applyBorder="1" applyAlignment="1">
      <alignment horizontal="center"/>
    </xf>
    <xf numFmtId="0" fontId="0" fillId="11" borderId="1" xfId="0" applyFill="1" applyBorder="1" applyAlignment="1">
      <alignment horizontal="left"/>
    </xf>
    <xf numFmtId="44" fontId="0" fillId="12" borderId="1" xfId="0" applyNumberForma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13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5" fontId="0" fillId="13" borderId="0" xfId="0" applyNumberFormat="1" applyFill="1" applyAlignment="1">
      <alignment horizontal="center" vertical="center"/>
    </xf>
    <xf numFmtId="44" fontId="0" fillId="13" borderId="0" xfId="0" applyNumberFormat="1" applyFill="1" applyAlignment="1">
      <alignment horizontal="left" vertical="center"/>
    </xf>
    <xf numFmtId="44" fontId="0" fillId="0" borderId="0" xfId="0" applyNumberFormat="1" applyAlignment="1">
      <alignment horizontal="center" vertical="center"/>
    </xf>
    <xf numFmtId="0" fontId="0" fillId="12" borderId="0" xfId="0" applyFill="1"/>
    <xf numFmtId="0" fontId="0" fillId="8" borderId="0" xfId="0" applyFill="1"/>
    <xf numFmtId="44" fontId="4" fillId="15" borderId="7" xfId="0" applyNumberFormat="1" applyFont="1" applyFill="1" applyBorder="1" applyAlignment="1">
      <alignment horizontal="center" vertical="center"/>
    </xf>
    <xf numFmtId="44" fontId="4" fillId="15" borderId="2" xfId="0" applyNumberFormat="1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44" fontId="4" fillId="14" borderId="5" xfId="0" applyNumberFormat="1" applyFont="1" applyFill="1" applyBorder="1" applyAlignment="1">
      <alignment horizontal="center" vertical="center" wrapText="1"/>
    </xf>
    <xf numFmtId="0" fontId="4" fillId="16" borderId="4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44" fontId="4" fillId="17" borderId="5" xfId="0" applyNumberFormat="1" applyFont="1" applyFill="1" applyBorder="1" applyAlignment="1">
      <alignment horizontal="center" vertical="center"/>
    </xf>
    <xf numFmtId="44" fontId="0" fillId="17" borderId="2" xfId="0" applyNumberFormat="1" applyFill="1" applyBorder="1" applyAlignment="1">
      <alignment horizontal="left" vertical="center"/>
    </xf>
    <xf numFmtId="44" fontId="0" fillId="17" borderId="1" xfId="0" applyNumberFormat="1" applyFill="1" applyBorder="1" applyAlignment="1">
      <alignment horizontal="left" vertical="center"/>
    </xf>
    <xf numFmtId="44" fontId="0" fillId="17" borderId="2" xfId="0" applyNumberFormat="1" applyFill="1" applyBorder="1" applyAlignment="1">
      <alignment horizontal="center" vertical="center"/>
    </xf>
    <xf numFmtId="0" fontId="4" fillId="18" borderId="4" xfId="0" applyFont="1" applyFill="1" applyBorder="1" applyAlignment="1">
      <alignment horizontal="center" vertical="center" wrapText="1"/>
    </xf>
    <xf numFmtId="44" fontId="4" fillId="19" borderId="5" xfId="0" applyNumberFormat="1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44" fontId="6" fillId="4" borderId="1" xfId="0" applyNumberFormat="1" applyFont="1" applyFill="1" applyBorder="1" applyAlignment="1">
      <alignment horizontal="center" vertical="center"/>
    </xf>
    <xf numFmtId="44" fontId="4" fillId="18" borderId="4" xfId="0" applyNumberFormat="1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44" fontId="4" fillId="15" borderId="10" xfId="0" applyNumberFormat="1" applyFont="1" applyFill="1" applyBorder="1" applyAlignment="1">
      <alignment horizontal="center" vertical="center"/>
    </xf>
    <xf numFmtId="44" fontId="4" fillId="14" borderId="9" xfId="0" applyNumberFormat="1" applyFont="1" applyFill="1" applyBorder="1" applyAlignment="1">
      <alignment horizontal="center" vertical="center" wrapText="1"/>
    </xf>
    <xf numFmtId="44" fontId="4" fillId="3" borderId="9" xfId="0" applyNumberFormat="1" applyFont="1" applyFill="1" applyBorder="1" applyAlignment="1">
      <alignment horizontal="center" vertical="center"/>
    </xf>
    <xf numFmtId="0" fontId="4" fillId="16" borderId="11" xfId="0" applyFont="1" applyFill="1" applyBorder="1" applyAlignment="1">
      <alignment horizontal="center" vertical="center" wrapText="1"/>
    </xf>
    <xf numFmtId="44" fontId="4" fillId="17" borderId="9" xfId="0" applyNumberFormat="1" applyFont="1" applyFill="1" applyBorder="1" applyAlignment="1">
      <alignment horizontal="center" vertical="center"/>
    </xf>
    <xf numFmtId="0" fontId="4" fillId="18" borderId="11" xfId="0" applyFont="1" applyFill="1" applyBorder="1" applyAlignment="1">
      <alignment horizontal="center" vertical="center" wrapText="1"/>
    </xf>
    <xf numFmtId="44" fontId="4" fillId="19" borderId="9" xfId="0" applyNumberFormat="1" applyFont="1" applyFill="1" applyBorder="1" applyAlignment="1">
      <alignment horizontal="center" vertical="center"/>
    </xf>
    <xf numFmtId="44" fontId="4" fillId="14" borderId="4" xfId="0" applyNumberFormat="1" applyFont="1" applyFill="1" applyBorder="1" applyAlignment="1">
      <alignment horizontal="center" vertical="center" wrapText="1"/>
    </xf>
    <xf numFmtId="44" fontId="4" fillId="3" borderId="13" xfId="0" applyNumberFormat="1" applyFont="1" applyFill="1" applyBorder="1" applyAlignment="1">
      <alignment horizontal="center" vertical="center"/>
    </xf>
    <xf numFmtId="44" fontId="4" fillId="12" borderId="14" xfId="0" applyNumberFormat="1" applyFont="1" applyFill="1" applyBorder="1" applyAlignment="1">
      <alignment horizontal="center" vertical="center" wrapText="1"/>
    </xf>
    <xf numFmtId="44" fontId="4" fillId="23" borderId="12" xfId="0" applyNumberFormat="1" applyFont="1" applyFill="1" applyBorder="1" applyAlignment="1">
      <alignment horizontal="center" vertical="center"/>
    </xf>
    <xf numFmtId="44" fontId="4" fillId="17" borderId="15" xfId="0" applyNumberFormat="1" applyFont="1" applyFill="1" applyBorder="1" applyAlignment="1">
      <alignment horizontal="center" vertical="center"/>
    </xf>
    <xf numFmtId="0" fontId="4" fillId="16" borderId="12" xfId="0" applyFont="1" applyFill="1" applyBorder="1" applyAlignment="1">
      <alignment horizontal="center" vertical="center" wrapText="1"/>
    </xf>
    <xf numFmtId="44" fontId="4" fillId="19" borderId="15" xfId="0" applyNumberFormat="1" applyFont="1" applyFill="1" applyBorder="1" applyAlignment="1">
      <alignment horizontal="center" vertical="center"/>
    </xf>
    <xf numFmtId="0" fontId="4" fillId="18" borderId="12" xfId="0" applyFont="1" applyFill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 vertical="center"/>
    </xf>
    <xf numFmtId="44" fontId="0" fillId="12" borderId="18" xfId="0" applyNumberFormat="1" applyFill="1" applyBorder="1" applyAlignment="1">
      <alignment horizontal="center" vertical="center"/>
    </xf>
    <xf numFmtId="44" fontId="0" fillId="8" borderId="18" xfId="0" applyNumberFormat="1" applyFill="1" applyBorder="1" applyAlignment="1">
      <alignment horizontal="center" vertical="center"/>
    </xf>
    <xf numFmtId="44" fontId="4" fillId="3" borderId="18" xfId="0" applyNumberFormat="1" applyFont="1" applyFill="1" applyBorder="1" applyAlignment="1">
      <alignment horizontal="center" vertical="center"/>
    </xf>
    <xf numFmtId="44" fontId="0" fillId="0" borderId="19" xfId="0" applyNumberFormat="1" applyBorder="1" applyAlignment="1">
      <alignment horizontal="center" vertical="center"/>
    </xf>
    <xf numFmtId="44" fontId="0" fillId="0" borderId="20" xfId="0" applyNumberFormat="1" applyBorder="1" applyAlignment="1">
      <alignment horizontal="center" vertical="center"/>
    </xf>
    <xf numFmtId="44" fontId="4" fillId="18" borderId="12" xfId="0" applyNumberFormat="1" applyFont="1" applyFill="1" applyBorder="1" applyAlignment="1">
      <alignment horizontal="center" vertical="center" wrapText="1"/>
    </xf>
    <xf numFmtId="0" fontId="4" fillId="18" borderId="21" xfId="0" applyFont="1" applyFill="1" applyBorder="1" applyAlignment="1">
      <alignment horizontal="center" vertical="center" wrapText="1"/>
    </xf>
    <xf numFmtId="0" fontId="4" fillId="6" borderId="2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44" fontId="4" fillId="19" borderId="4" xfId="0" applyNumberFormat="1" applyFont="1" applyFill="1" applyBorder="1" applyAlignment="1">
      <alignment horizontal="center" vertical="center"/>
    </xf>
    <xf numFmtId="44" fontId="4" fillId="19" borderId="13" xfId="0" applyNumberFormat="1" applyFont="1" applyFill="1" applyBorder="1" applyAlignment="1">
      <alignment horizontal="center" vertical="center"/>
    </xf>
    <xf numFmtId="44" fontId="0" fillId="21" borderId="20" xfId="0" applyNumberFormat="1" applyFill="1" applyBorder="1" applyAlignment="1">
      <alignment horizontal="center" vertical="center"/>
    </xf>
    <xf numFmtId="44" fontId="4" fillId="18" borderId="23" xfId="0" applyNumberFormat="1" applyFont="1" applyFill="1" applyBorder="1" applyAlignment="1">
      <alignment horizontal="center" vertical="center" wrapText="1"/>
    </xf>
    <xf numFmtId="44" fontId="4" fillId="18" borderId="24" xfId="0" applyNumberFormat="1" applyFont="1" applyFill="1" applyBorder="1" applyAlignment="1">
      <alignment horizontal="center" vertical="center" wrapText="1"/>
    </xf>
    <xf numFmtId="44" fontId="0" fillId="0" borderId="18" xfId="0" applyNumberFormat="1" applyBorder="1" applyAlignment="1">
      <alignment horizontal="center" vertical="center"/>
    </xf>
    <xf numFmtId="0" fontId="4" fillId="18" borderId="25" xfId="0" applyFont="1" applyFill="1" applyBorder="1" applyAlignment="1">
      <alignment horizontal="center" vertical="center" wrapText="1"/>
    </xf>
    <xf numFmtId="44" fontId="0" fillId="0" borderId="3" xfId="0" applyNumberFormat="1" applyBorder="1" applyAlignment="1">
      <alignment horizontal="center" vertical="center"/>
    </xf>
    <xf numFmtId="44" fontId="4" fillId="18" borderId="25" xfId="0" applyNumberFormat="1" applyFont="1" applyFill="1" applyBorder="1" applyAlignment="1">
      <alignment horizontal="center" vertical="center" wrapText="1"/>
    </xf>
    <xf numFmtId="44" fontId="0" fillId="0" borderId="27" xfId="0" applyNumberFormat="1" applyBorder="1" applyAlignment="1">
      <alignment horizontal="center" vertical="center"/>
    </xf>
    <xf numFmtId="44" fontId="6" fillId="0" borderId="1" xfId="0" applyNumberFormat="1" applyFont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44" fontId="6" fillId="0" borderId="2" xfId="0" applyNumberFormat="1" applyFont="1" applyBorder="1" applyAlignment="1">
      <alignment horizontal="center" vertical="center"/>
    </xf>
    <xf numFmtId="0" fontId="6" fillId="23" borderId="4" xfId="0" applyFont="1" applyFill="1" applyBorder="1" applyAlignment="1">
      <alignment horizontal="center" vertical="center"/>
    </xf>
    <xf numFmtId="44" fontId="6" fillId="23" borderId="5" xfId="0" applyNumberFormat="1" applyFont="1" applyFill="1" applyBorder="1" applyAlignment="1">
      <alignment horizontal="center" vertical="center"/>
    </xf>
    <xf numFmtId="44" fontId="6" fillId="22" borderId="5" xfId="0" applyNumberFormat="1" applyFont="1" applyFill="1" applyBorder="1" applyAlignment="1">
      <alignment horizontal="center" vertical="center"/>
    </xf>
    <xf numFmtId="0" fontId="0" fillId="0" borderId="2" xfId="0" applyBorder="1"/>
    <xf numFmtId="0" fontId="4" fillId="6" borderId="0" xfId="0" applyFont="1" applyFill="1" applyAlignment="1">
      <alignment horizontal="center"/>
    </xf>
    <xf numFmtId="0" fontId="0" fillId="0" borderId="1" xfId="0" applyBorder="1"/>
    <xf numFmtId="0" fontId="6" fillId="20" borderId="2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/>
    </xf>
    <xf numFmtId="44" fontId="6" fillId="22" borderId="9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3" fillId="0" borderId="0" xfId="0" applyFont="1"/>
    <xf numFmtId="0" fontId="0" fillId="25" borderId="0" xfId="0" applyFill="1"/>
    <xf numFmtId="15" fontId="0" fillId="25" borderId="1" xfId="0" applyNumberFormat="1" applyFill="1" applyBorder="1" applyAlignment="1">
      <alignment horizontal="center" vertical="center"/>
    </xf>
    <xf numFmtId="44" fontId="0" fillId="25" borderId="1" xfId="0" applyNumberFormat="1" applyFill="1" applyBorder="1" applyAlignment="1">
      <alignment horizontal="left" vertical="center"/>
    </xf>
    <xf numFmtId="0" fontId="4" fillId="25" borderId="1" xfId="0" applyFont="1" applyFill="1" applyBorder="1" applyAlignment="1">
      <alignment horizontal="center" vertical="center" wrapText="1"/>
    </xf>
    <xf numFmtId="0" fontId="0" fillId="13" borderId="0" xfId="0" applyFill="1"/>
    <xf numFmtId="44" fontId="0" fillId="13" borderId="18" xfId="0" applyNumberForma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2" xfId="0" applyBorder="1"/>
    <xf numFmtId="0" fontId="0" fillId="0" borderId="8" xfId="0" applyBorder="1" applyAlignment="1">
      <alignment wrapText="1"/>
    </xf>
    <xf numFmtId="0" fontId="0" fillId="0" borderId="8" xfId="0" applyBorder="1"/>
    <xf numFmtId="0" fontId="2" fillId="11" borderId="1" xfId="0" applyFont="1" applyFill="1" applyBorder="1" applyAlignment="1">
      <alignment horizontal="left"/>
    </xf>
    <xf numFmtId="0" fontId="4" fillId="6" borderId="26" xfId="0" applyFont="1" applyFill="1" applyBorder="1" applyAlignment="1">
      <alignment horizontal="center"/>
    </xf>
    <xf numFmtId="0" fontId="4" fillId="6" borderId="16" xfId="0" applyFont="1" applyFill="1" applyBorder="1" applyAlignment="1">
      <alignment horizontal="center"/>
    </xf>
    <xf numFmtId="0" fontId="8" fillId="4" borderId="28" xfId="0" applyFont="1" applyFill="1" applyBorder="1" applyAlignment="1">
      <alignment horizontal="center"/>
    </xf>
    <xf numFmtId="0" fontId="8" fillId="4" borderId="29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8" fillId="4" borderId="18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6" fillId="26" borderId="4" xfId="0" applyFont="1" applyFill="1" applyBorder="1" applyAlignment="1">
      <alignment horizontal="center"/>
    </xf>
    <xf numFmtId="0" fontId="6" fillId="26" borderId="13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FF66"/>
      <color rgb="FFFF6600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40"/>
  <sheetViews>
    <sheetView tabSelected="1" topLeftCell="C208" zoomScale="70" zoomScaleNormal="70" workbookViewId="0">
      <selection activeCell="U222" sqref="U222"/>
    </sheetView>
  </sheetViews>
  <sheetFormatPr defaultColWidth="9" defaultRowHeight="14.4"/>
  <cols>
    <col min="2" max="2" width="11.6640625" bestFit="1" customWidth="1"/>
    <col min="3" max="3" width="43.21875" bestFit="1" customWidth="1"/>
    <col min="4" max="4" width="12" customWidth="1"/>
    <col min="5" max="5" width="4.109375" customWidth="1"/>
    <col min="6" max="6" width="17" customWidth="1"/>
    <col min="7" max="7" width="19.33203125" bestFit="1" customWidth="1"/>
    <col min="8" max="8" width="16.21875" bestFit="1" customWidth="1"/>
    <col min="9" max="9" width="19.33203125" bestFit="1" customWidth="1"/>
    <col min="10" max="10" width="16.21875" bestFit="1" customWidth="1"/>
    <col min="11" max="11" width="19.33203125" bestFit="1" customWidth="1"/>
    <col min="12" max="12" width="16.77734375" bestFit="1" customWidth="1"/>
    <col min="13" max="13" width="15.33203125" bestFit="1" customWidth="1"/>
    <col min="14" max="14" width="14.88671875" bestFit="1" customWidth="1"/>
    <col min="15" max="15" width="19.33203125" bestFit="1" customWidth="1"/>
    <col min="16" max="16" width="16.21875" bestFit="1" customWidth="1"/>
    <col min="17" max="17" width="19.5546875" bestFit="1" customWidth="1"/>
    <col min="18" max="18" width="17.21875" bestFit="1" customWidth="1"/>
    <col min="19" max="19" width="19.6640625" bestFit="1" customWidth="1"/>
    <col min="20" max="20" width="19.33203125" bestFit="1" customWidth="1"/>
    <col min="21" max="21" width="21.5546875" bestFit="1" customWidth="1"/>
    <col min="22" max="22" width="18.33203125" bestFit="1" customWidth="1"/>
    <col min="23" max="23" width="18.77734375" customWidth="1"/>
    <col min="24" max="24" width="13.6640625" bestFit="1" customWidth="1"/>
    <col min="25" max="25" width="12.33203125" customWidth="1"/>
    <col min="26" max="26" width="14" bestFit="1" customWidth="1"/>
    <col min="27" max="29" width="14" customWidth="1"/>
    <col min="30" max="30" width="12.88671875" customWidth="1"/>
    <col min="31" max="31" width="16.21875" bestFit="1" customWidth="1"/>
    <col min="32" max="32" width="15.21875" bestFit="1" customWidth="1"/>
    <col min="33" max="33" width="15.6640625" bestFit="1" customWidth="1"/>
    <col min="34" max="34" width="14.88671875" bestFit="1" customWidth="1"/>
    <col min="35" max="35" width="15.88671875" bestFit="1" customWidth="1"/>
    <col min="36" max="36" width="14" customWidth="1"/>
    <col min="38" max="38" width="15.109375" bestFit="1" customWidth="1"/>
    <col min="39" max="39" width="15.44140625" bestFit="1" customWidth="1"/>
    <col min="43" max="43" width="14.21875" bestFit="1" customWidth="1"/>
    <col min="45" max="45" width="14.5546875" bestFit="1" customWidth="1"/>
    <col min="46" max="46" width="32.33203125" bestFit="1" customWidth="1"/>
  </cols>
  <sheetData>
    <row r="1" spans="1:45">
      <c r="C1" s="6" t="s">
        <v>0</v>
      </c>
    </row>
    <row r="2" spans="1:45" ht="18.600000000000001" thickBot="1">
      <c r="A2" s="120" t="s">
        <v>1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7"/>
      <c r="V2" s="7"/>
      <c r="W2" s="7"/>
      <c r="X2" s="7"/>
      <c r="Y2" s="78"/>
      <c r="Z2" s="69"/>
      <c r="AE2" s="121" t="s">
        <v>80</v>
      </c>
      <c r="AF2" s="122"/>
      <c r="AG2" s="122"/>
      <c r="AH2" s="122"/>
      <c r="AI2" s="122"/>
      <c r="AJ2" s="122"/>
      <c r="AK2" s="122"/>
      <c r="AL2" s="122"/>
      <c r="AM2" s="122"/>
      <c r="AN2" s="122"/>
      <c r="AO2" s="122"/>
      <c r="AP2" s="122"/>
      <c r="AQ2" s="122"/>
      <c r="AR2" s="122"/>
      <c r="AS2" s="122"/>
    </row>
    <row r="3" spans="1:45" ht="15" thickBot="1">
      <c r="A3" s="8" t="s">
        <v>2</v>
      </c>
      <c r="B3" s="8" t="s">
        <v>3</v>
      </c>
      <c r="C3" s="8" t="s">
        <v>4</v>
      </c>
      <c r="D3" s="8" t="s">
        <v>5</v>
      </c>
      <c r="F3" s="4" t="s">
        <v>6</v>
      </c>
      <c r="G3" s="4" t="s">
        <v>7</v>
      </c>
      <c r="H3" s="4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70" t="s">
        <v>24</v>
      </c>
      <c r="X3" s="48" t="s">
        <v>23</v>
      </c>
      <c r="Y3" s="86" t="s">
        <v>105</v>
      </c>
      <c r="Z3" s="68" t="s">
        <v>70</v>
      </c>
      <c r="AE3" s="100" t="s">
        <v>124</v>
      </c>
      <c r="AF3" s="91" t="s">
        <v>7</v>
      </c>
      <c r="AG3" s="91" t="s">
        <v>9</v>
      </c>
      <c r="AH3" s="91" t="s">
        <v>11</v>
      </c>
      <c r="AI3" s="91" t="s">
        <v>15</v>
      </c>
      <c r="AJ3" s="91" t="s">
        <v>17</v>
      </c>
      <c r="AK3" s="91" t="s">
        <v>19</v>
      </c>
      <c r="AL3" s="91" t="s">
        <v>20</v>
      </c>
      <c r="AM3" s="91" t="s">
        <v>21</v>
      </c>
      <c r="AN3" s="91" t="s">
        <v>22</v>
      </c>
      <c r="AO3" s="91" t="s">
        <v>8</v>
      </c>
      <c r="AP3" s="91" t="s">
        <v>10</v>
      </c>
      <c r="AQ3" s="91" t="s">
        <v>125</v>
      </c>
      <c r="AR3" s="91" t="s">
        <v>16</v>
      </c>
      <c r="AS3" s="91" t="s">
        <v>18</v>
      </c>
    </row>
    <row r="4" spans="1:45">
      <c r="A4" s="9">
        <v>1</v>
      </c>
      <c r="B4" s="9" t="s">
        <v>25</v>
      </c>
      <c r="C4" s="10" t="s">
        <v>26</v>
      </c>
      <c r="D4" s="9">
        <v>146344.01</v>
      </c>
      <c r="F4" s="11" t="s">
        <v>27</v>
      </c>
      <c r="G4" s="11">
        <v>173167.6</v>
      </c>
      <c r="H4" s="12">
        <v>4322.88</v>
      </c>
      <c r="I4" s="11">
        <v>8384</v>
      </c>
      <c r="J4" s="12">
        <v>3705.46</v>
      </c>
      <c r="K4" s="11">
        <v>164519.5</v>
      </c>
      <c r="L4" s="11">
        <f>SUM(M4:N4)</f>
        <v>1068.56</v>
      </c>
      <c r="M4" s="25">
        <v>451</v>
      </c>
      <c r="N4" s="12">
        <v>617.55999999999995</v>
      </c>
      <c r="O4" s="11">
        <v>40000</v>
      </c>
      <c r="P4" s="11">
        <v>11234</v>
      </c>
      <c r="Q4" s="11">
        <v>248826</v>
      </c>
      <c r="R4" s="25">
        <v>27338</v>
      </c>
      <c r="S4" s="11">
        <v>173260</v>
      </c>
      <c r="T4" s="11">
        <v>173260</v>
      </c>
      <c r="U4" s="11">
        <v>183371.74</v>
      </c>
      <c r="V4" s="11">
        <v>90001.279999999999</v>
      </c>
      <c r="W4" s="71">
        <v>17000</v>
      </c>
      <c r="X4" s="74">
        <v>400</v>
      </c>
      <c r="Y4" s="87"/>
      <c r="Z4" s="75">
        <v>5000</v>
      </c>
      <c r="AD4" s="33" t="s">
        <v>78</v>
      </c>
      <c r="AE4" s="50" t="s">
        <v>88</v>
      </c>
      <c r="AF4" s="90"/>
      <c r="AG4" s="90"/>
      <c r="AH4" s="90"/>
      <c r="AI4" s="90"/>
      <c r="AJ4" s="98"/>
      <c r="AK4" s="98"/>
      <c r="AL4" s="98"/>
      <c r="AM4" s="98"/>
      <c r="AN4" s="98"/>
      <c r="AO4" s="98"/>
      <c r="AP4" s="98"/>
      <c r="AQ4" s="98"/>
      <c r="AR4" s="98"/>
      <c r="AS4" s="98"/>
    </row>
    <row r="5" spans="1:45">
      <c r="A5" s="9">
        <v>2</v>
      </c>
      <c r="B5" s="9" t="s">
        <v>25</v>
      </c>
      <c r="C5" s="10" t="s">
        <v>28</v>
      </c>
      <c r="D5" s="9">
        <v>456316.03</v>
      </c>
      <c r="F5" s="11" t="s">
        <v>27</v>
      </c>
      <c r="G5" s="11">
        <v>52561</v>
      </c>
      <c r="H5" s="12">
        <v>18670.41</v>
      </c>
      <c r="I5" s="11">
        <v>31117</v>
      </c>
      <c r="J5" s="12">
        <v>16031.77</v>
      </c>
      <c r="K5" s="11">
        <v>39500</v>
      </c>
      <c r="L5" s="11">
        <f>SUM(M5:N5)</f>
        <v>3671.96</v>
      </c>
      <c r="M5" s="25">
        <v>1000</v>
      </c>
      <c r="N5" s="12">
        <v>2671.96</v>
      </c>
      <c r="O5" s="11">
        <v>115749</v>
      </c>
      <c r="P5" s="25">
        <v>9632</v>
      </c>
      <c r="Q5" s="11">
        <v>60662</v>
      </c>
      <c r="R5" s="11"/>
      <c r="S5" s="11">
        <v>42322.32</v>
      </c>
      <c r="T5" s="11">
        <v>42322.32</v>
      </c>
      <c r="U5" s="11">
        <v>56315.79</v>
      </c>
      <c r="V5" s="11">
        <v>19282</v>
      </c>
      <c r="W5" s="71">
        <v>79500</v>
      </c>
      <c r="X5" s="74"/>
      <c r="Y5" s="87"/>
      <c r="Z5" s="75">
        <v>2000</v>
      </c>
      <c r="AD5" s="34" t="s">
        <v>79</v>
      </c>
      <c r="AE5" s="50" t="s">
        <v>87</v>
      </c>
      <c r="AF5" s="90"/>
      <c r="AG5" s="90"/>
      <c r="AH5" s="90"/>
      <c r="AI5" s="90"/>
      <c r="AJ5" s="98"/>
      <c r="AK5" s="98"/>
      <c r="AL5" s="98"/>
      <c r="AM5" s="98"/>
      <c r="AN5" s="98"/>
      <c r="AO5" s="98"/>
      <c r="AP5" s="98"/>
      <c r="AQ5" s="98"/>
      <c r="AR5" s="98"/>
      <c r="AS5" s="98"/>
    </row>
    <row r="6" spans="1:45">
      <c r="A6" s="9">
        <v>3</v>
      </c>
      <c r="B6" s="9" t="s">
        <v>25</v>
      </c>
      <c r="C6" s="10" t="s">
        <v>29</v>
      </c>
      <c r="D6" s="9">
        <v>459750.01</v>
      </c>
      <c r="F6" s="11" t="s">
        <v>27</v>
      </c>
      <c r="G6" s="11"/>
      <c r="H6" s="11"/>
      <c r="I6" s="11">
        <v>206611</v>
      </c>
      <c r="J6" s="11"/>
      <c r="K6" s="11">
        <v>2024</v>
      </c>
      <c r="L6" s="11"/>
      <c r="M6" s="11"/>
      <c r="N6" s="11"/>
      <c r="O6" s="25">
        <v>61579</v>
      </c>
      <c r="P6" s="11"/>
      <c r="Q6" s="11"/>
      <c r="R6" s="11"/>
      <c r="S6" s="11"/>
      <c r="T6" s="11"/>
      <c r="U6" s="11"/>
      <c r="V6" s="11">
        <v>4844</v>
      </c>
      <c r="W6" s="71">
        <v>2500</v>
      </c>
      <c r="X6" s="74"/>
      <c r="Y6" s="87"/>
      <c r="Z6" s="75"/>
      <c r="AE6" s="50" t="s">
        <v>116</v>
      </c>
      <c r="AF6" s="90"/>
      <c r="AG6" s="90"/>
      <c r="AH6" s="90"/>
      <c r="AI6" s="90"/>
      <c r="AJ6" s="98"/>
      <c r="AK6" s="98"/>
      <c r="AL6" s="98"/>
      <c r="AM6" s="98"/>
      <c r="AN6" s="98"/>
      <c r="AO6" s="98"/>
      <c r="AP6" s="98"/>
      <c r="AQ6" s="98"/>
      <c r="AR6" s="98"/>
      <c r="AS6" s="98"/>
    </row>
    <row r="7" spans="1:45" ht="15" thickBot="1">
      <c r="A7" s="9">
        <v>4</v>
      </c>
      <c r="B7" s="9" t="s">
        <v>25</v>
      </c>
      <c r="C7" s="10" t="s">
        <v>30</v>
      </c>
      <c r="D7" s="9">
        <v>7420</v>
      </c>
      <c r="F7" s="11" t="s">
        <v>27</v>
      </c>
      <c r="G7" s="2"/>
      <c r="H7" s="2"/>
      <c r="I7" s="11">
        <v>4187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72">
        <v>38380</v>
      </c>
      <c r="X7" s="74"/>
      <c r="Y7" s="87"/>
      <c r="Z7" s="75"/>
      <c r="AE7" s="99" t="s">
        <v>117</v>
      </c>
      <c r="AF7" s="92"/>
      <c r="AG7" s="92"/>
      <c r="AH7" s="92"/>
      <c r="AI7" s="92"/>
      <c r="AJ7" s="96"/>
      <c r="AK7" s="96"/>
      <c r="AL7" s="96"/>
      <c r="AM7" s="96"/>
      <c r="AN7" s="96"/>
      <c r="AO7" s="96"/>
      <c r="AP7" s="96"/>
      <c r="AQ7" s="96"/>
      <c r="AR7" s="96"/>
      <c r="AS7" s="96"/>
    </row>
    <row r="8" spans="1:45" ht="16.8" customHeight="1" thickBot="1">
      <c r="A8" s="9">
        <v>5</v>
      </c>
      <c r="B8" s="9" t="s">
        <v>25</v>
      </c>
      <c r="C8" s="10" t="s">
        <v>31</v>
      </c>
      <c r="D8" s="9">
        <v>21800</v>
      </c>
      <c r="F8" s="11" t="s">
        <v>27</v>
      </c>
      <c r="G8" s="2"/>
      <c r="H8" s="2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72">
        <v>8650</v>
      </c>
      <c r="X8" s="74"/>
      <c r="Y8" s="87"/>
      <c r="Z8" s="75"/>
      <c r="AD8" s="93" t="s">
        <v>89</v>
      </c>
      <c r="AE8" s="94">
        <f ca="1">SUM(AF8:AS8)</f>
        <v>0</v>
      </c>
      <c r="AF8" s="95">
        <f ca="1">SUM(AF4:AF12)</f>
        <v>0</v>
      </c>
      <c r="AG8" s="95">
        <f ca="1">SUM(AG4:AG12)</f>
        <v>0</v>
      </c>
      <c r="AH8" s="95">
        <f ca="1">SUM(AH4:AH12)</f>
        <v>0</v>
      </c>
      <c r="AI8" s="95">
        <f ca="1">SUM(AI4:AI12)</f>
        <v>0</v>
      </c>
      <c r="AJ8" s="95">
        <f t="shared" ref="AJ8:AS8" ca="1" si="0">SUM(AJ4:AJ12)</f>
        <v>0</v>
      </c>
      <c r="AK8" s="95">
        <f t="shared" ca="1" si="0"/>
        <v>0</v>
      </c>
      <c r="AL8" s="95">
        <f t="shared" ca="1" si="0"/>
        <v>0</v>
      </c>
      <c r="AM8" s="95">
        <f t="shared" ca="1" si="0"/>
        <v>0</v>
      </c>
      <c r="AN8" s="95">
        <f t="shared" ca="1" si="0"/>
        <v>0</v>
      </c>
      <c r="AO8" s="95">
        <f t="shared" ca="1" si="0"/>
        <v>0</v>
      </c>
      <c r="AP8" s="95">
        <f t="shared" ca="1" si="0"/>
        <v>0</v>
      </c>
      <c r="AQ8" s="95">
        <f t="shared" ca="1" si="0"/>
        <v>0</v>
      </c>
      <c r="AR8" s="95">
        <f t="shared" ca="1" si="0"/>
        <v>0</v>
      </c>
      <c r="AS8" s="95">
        <f t="shared" ca="1" si="0"/>
        <v>0</v>
      </c>
    </row>
    <row r="9" spans="1:45" ht="29.4" thickBot="1">
      <c r="A9" s="9">
        <v>6</v>
      </c>
      <c r="B9" s="9" t="s">
        <v>25</v>
      </c>
      <c r="C9" s="10" t="s">
        <v>32</v>
      </c>
      <c r="D9" s="9">
        <v>10499.99</v>
      </c>
      <c r="F9" s="37" t="s">
        <v>33</v>
      </c>
      <c r="G9" s="3">
        <f t="shared" ref="G9:V9" si="1">SUM(G4:G8)</f>
        <v>225728.6</v>
      </c>
      <c r="H9" s="3">
        <f>SUM(H4:H8)</f>
        <v>22993.29</v>
      </c>
      <c r="I9" s="3">
        <f t="shared" si="1"/>
        <v>250299</v>
      </c>
      <c r="J9" s="3">
        <f t="shared" si="1"/>
        <v>19737.23</v>
      </c>
      <c r="K9" s="3">
        <f t="shared" si="1"/>
        <v>206043.5</v>
      </c>
      <c r="L9" s="3">
        <f>SUM(L4:L8)</f>
        <v>4740.5200000000004</v>
      </c>
      <c r="M9" s="3"/>
      <c r="N9" s="3"/>
      <c r="O9" s="3">
        <f t="shared" si="1"/>
        <v>217328</v>
      </c>
      <c r="P9" s="3">
        <f t="shared" si="1"/>
        <v>20866</v>
      </c>
      <c r="Q9" s="3">
        <f t="shared" si="1"/>
        <v>309488</v>
      </c>
      <c r="R9" s="3">
        <f t="shared" si="1"/>
        <v>27338</v>
      </c>
      <c r="S9" s="3">
        <f t="shared" si="1"/>
        <v>215582.32</v>
      </c>
      <c r="T9" s="3">
        <f t="shared" si="1"/>
        <v>215582.32</v>
      </c>
      <c r="U9" s="3">
        <f t="shared" si="1"/>
        <v>239687.53</v>
      </c>
      <c r="V9" s="3">
        <f t="shared" si="1"/>
        <v>114127.28</v>
      </c>
      <c r="W9" s="73">
        <f>SUM(W4:W8)</f>
        <v>146030</v>
      </c>
      <c r="X9" s="52">
        <f>SUM(X4:X8)</f>
        <v>400</v>
      </c>
      <c r="Y9" s="88">
        <f>SUM(Y4:Y8)</f>
        <v>0</v>
      </c>
      <c r="Z9" s="76">
        <f>SUM(Z4:Z8)</f>
        <v>7000</v>
      </c>
    </row>
    <row r="10" spans="1:45" ht="28.8">
      <c r="A10" s="9">
        <v>7</v>
      </c>
      <c r="B10" s="9" t="s">
        <v>25</v>
      </c>
      <c r="C10" s="10" t="s">
        <v>34</v>
      </c>
      <c r="D10" s="9">
        <v>102088</v>
      </c>
      <c r="F10" s="41" t="s">
        <v>35</v>
      </c>
      <c r="G10" s="36">
        <v>225409</v>
      </c>
      <c r="H10" s="36">
        <v>24122</v>
      </c>
      <c r="I10" s="36">
        <v>217328</v>
      </c>
      <c r="J10" s="36">
        <v>20866</v>
      </c>
      <c r="K10" s="36">
        <v>216761</v>
      </c>
      <c r="L10" s="36">
        <v>20866</v>
      </c>
      <c r="M10" s="36"/>
      <c r="N10" s="36"/>
      <c r="O10" s="36">
        <v>217328</v>
      </c>
      <c r="P10" s="36">
        <v>20866</v>
      </c>
      <c r="Q10" s="36">
        <v>328450</v>
      </c>
      <c r="R10" s="36">
        <v>27338</v>
      </c>
      <c r="S10" s="36">
        <v>229153</v>
      </c>
      <c r="T10" s="36">
        <v>229153</v>
      </c>
      <c r="U10" s="36">
        <v>239265</v>
      </c>
      <c r="V10" s="36">
        <v>108990</v>
      </c>
    </row>
    <row r="11" spans="1:45">
      <c r="A11" s="9">
        <v>8</v>
      </c>
      <c r="B11" s="9" t="s">
        <v>25</v>
      </c>
      <c r="C11" s="10" t="s">
        <v>36</v>
      </c>
      <c r="D11" s="9">
        <v>274693.07</v>
      </c>
      <c r="F11" s="43" t="s">
        <v>84</v>
      </c>
      <c r="G11" s="51">
        <f>(G10-G9)</f>
        <v>-319.60000000000582</v>
      </c>
      <c r="H11" s="51">
        <f>(H10-H9)</f>
        <v>1128.7099999999991</v>
      </c>
      <c r="I11" s="51">
        <f t="shared" ref="I11" si="2">(I10-I9)</f>
        <v>-32971</v>
      </c>
      <c r="J11" s="51">
        <f t="shared" ref="J11" si="3">(J10-J9)</f>
        <v>1128.7700000000004</v>
      </c>
      <c r="K11" s="51">
        <f t="shared" ref="K11" si="4">(K10-K9)</f>
        <v>10717.5</v>
      </c>
      <c r="L11" s="51">
        <f t="shared" ref="L11" si="5">(L10-L9)</f>
        <v>16125.48</v>
      </c>
      <c r="M11" s="51"/>
      <c r="N11" s="51"/>
      <c r="O11" s="51">
        <f t="shared" ref="O11" si="6">(O10-O9)</f>
        <v>0</v>
      </c>
      <c r="P11" s="51">
        <f t="shared" ref="P11" si="7">(P10-P9)</f>
        <v>0</v>
      </c>
      <c r="Q11" s="51">
        <f t="shared" ref="Q11" si="8">(Q10-Q9)</f>
        <v>18962</v>
      </c>
      <c r="R11" s="51">
        <f t="shared" ref="R11" si="9">(R10-R9)</f>
        <v>0</v>
      </c>
      <c r="S11" s="51">
        <f t="shared" ref="S11" si="10">(S10-S9)</f>
        <v>13570.679999999993</v>
      </c>
      <c r="T11" s="51">
        <f t="shared" ref="T11" si="11">(T10-T9)</f>
        <v>13570.679999999993</v>
      </c>
      <c r="U11" s="51">
        <f t="shared" ref="U11" si="12">(U10-U9)</f>
        <v>-422.52999999999884</v>
      </c>
      <c r="V11" s="51">
        <f t="shared" ref="V11" si="13">(V10-V9)</f>
        <v>-5137.2799999999988</v>
      </c>
      <c r="W11" s="17"/>
      <c r="X11" s="17"/>
      <c r="Y11" s="17"/>
      <c r="Z11" s="17"/>
      <c r="AA11" s="17"/>
      <c r="AB11" s="17"/>
      <c r="AC11" s="17"/>
    </row>
    <row r="12" spans="1:45" ht="28.8">
      <c r="A12" s="9">
        <v>9</v>
      </c>
      <c r="B12" s="9" t="s">
        <v>25</v>
      </c>
      <c r="C12" s="10" t="s">
        <v>37</v>
      </c>
      <c r="D12" s="9">
        <v>37892.980000000003</v>
      </c>
      <c r="F12" s="14" t="s">
        <v>4</v>
      </c>
      <c r="G12" s="14" t="s">
        <v>38</v>
      </c>
      <c r="H12" s="15" t="s">
        <v>39</v>
      </c>
      <c r="I12" s="15" t="s">
        <v>40</v>
      </c>
      <c r="J12" s="5" t="s">
        <v>41</v>
      </c>
      <c r="K12" s="5" t="s">
        <v>42</v>
      </c>
      <c r="L12" s="26" t="s">
        <v>43</v>
      </c>
      <c r="M12" s="5" t="s">
        <v>44</v>
      </c>
      <c r="N12" s="26" t="s">
        <v>45</v>
      </c>
      <c r="O12" s="26" t="s">
        <v>46</v>
      </c>
      <c r="P12" s="26" t="s">
        <v>47</v>
      </c>
      <c r="Q12" s="26" t="s">
        <v>48</v>
      </c>
      <c r="R12" s="26" t="s">
        <v>49</v>
      </c>
      <c r="S12" s="27" t="s">
        <v>50</v>
      </c>
      <c r="T12" s="27" t="s">
        <v>51</v>
      </c>
      <c r="U12" s="5" t="s">
        <v>52</v>
      </c>
      <c r="V12" s="27" t="s">
        <v>53</v>
      </c>
      <c r="W12" s="27" t="s">
        <v>56</v>
      </c>
      <c r="X12" s="27" t="s">
        <v>54</v>
      </c>
      <c r="Y12" s="107" t="s">
        <v>55</v>
      </c>
    </row>
    <row r="13" spans="1:45">
      <c r="A13" s="9">
        <v>10</v>
      </c>
      <c r="B13" s="9" t="s">
        <v>25</v>
      </c>
      <c r="C13" s="10" t="s">
        <v>57</v>
      </c>
      <c r="D13" s="9">
        <v>28499.99</v>
      </c>
      <c r="F13" s="11" t="s">
        <v>3</v>
      </c>
      <c r="G13" s="16">
        <v>45939</v>
      </c>
      <c r="H13" s="16">
        <v>45939</v>
      </c>
      <c r="I13" s="16">
        <v>45939</v>
      </c>
      <c r="J13" s="16">
        <v>45939</v>
      </c>
      <c r="K13" s="16">
        <v>45939</v>
      </c>
      <c r="L13" s="16">
        <v>45939</v>
      </c>
      <c r="M13" s="16">
        <v>45939</v>
      </c>
      <c r="N13" s="16">
        <v>45939</v>
      </c>
      <c r="O13" s="16">
        <v>45939</v>
      </c>
      <c r="P13" s="16">
        <v>45939</v>
      </c>
      <c r="Q13" s="16">
        <v>45939</v>
      </c>
      <c r="R13" s="16">
        <v>45939</v>
      </c>
      <c r="S13" s="16">
        <v>45943</v>
      </c>
      <c r="T13" s="16">
        <v>45943</v>
      </c>
      <c r="U13" s="16">
        <v>45939</v>
      </c>
      <c r="V13" s="16">
        <v>45940</v>
      </c>
      <c r="W13" s="16">
        <v>45956</v>
      </c>
      <c r="X13" s="16">
        <v>45940</v>
      </c>
      <c r="Y13" s="105">
        <v>45948</v>
      </c>
    </row>
    <row r="14" spans="1:45" ht="15" thickBot="1">
      <c r="A14" s="9">
        <v>11</v>
      </c>
      <c r="B14" s="9" t="s">
        <v>25</v>
      </c>
      <c r="C14" s="10" t="s">
        <v>58</v>
      </c>
      <c r="D14" s="9">
        <v>44000</v>
      </c>
      <c r="F14" s="46" t="s">
        <v>59</v>
      </c>
      <c r="G14" s="46">
        <v>459750</v>
      </c>
      <c r="H14" s="46">
        <v>456316</v>
      </c>
      <c r="I14" s="46">
        <v>274686</v>
      </c>
      <c r="J14" s="46">
        <v>146343</v>
      </c>
      <c r="K14" s="46">
        <v>102188</v>
      </c>
      <c r="L14" s="46">
        <v>37893</v>
      </c>
      <c r="M14" s="46">
        <v>10499</v>
      </c>
      <c r="N14" s="46">
        <v>7420</v>
      </c>
      <c r="O14" s="46">
        <v>21800</v>
      </c>
      <c r="P14" s="46">
        <v>28500</v>
      </c>
      <c r="Q14" s="46">
        <v>44000</v>
      </c>
      <c r="R14" s="46">
        <v>35310</v>
      </c>
      <c r="S14" s="46">
        <v>291520</v>
      </c>
      <c r="T14" s="46">
        <v>182940</v>
      </c>
      <c r="U14" s="46">
        <v>8710</v>
      </c>
      <c r="V14" s="46">
        <v>15800</v>
      </c>
      <c r="W14" s="46">
        <v>45175</v>
      </c>
      <c r="X14" s="46">
        <v>93778</v>
      </c>
      <c r="Y14" s="106">
        <v>18000</v>
      </c>
    </row>
    <row r="15" spans="1:45" ht="43.8" thickBot="1">
      <c r="A15" s="9">
        <v>12</v>
      </c>
      <c r="B15" s="9" t="s">
        <v>25</v>
      </c>
      <c r="C15" s="10" t="s">
        <v>60</v>
      </c>
      <c r="D15" s="9">
        <v>35309.99</v>
      </c>
      <c r="F15" s="38" t="s">
        <v>81</v>
      </c>
      <c r="G15" s="35">
        <f>SUM(G10:V10)</f>
        <v>2125895</v>
      </c>
      <c r="I15" s="61" t="s">
        <v>33</v>
      </c>
      <c r="J15" s="62">
        <f ca="1">SUM(G9:V9)-AE8</f>
        <v>2089541.5900000003</v>
      </c>
      <c r="L15" s="63" t="s">
        <v>77</v>
      </c>
      <c r="M15" s="64">
        <f ca="1">(G15-J15)</f>
        <v>36353.409999999683</v>
      </c>
      <c r="O15" s="66" t="s">
        <v>90</v>
      </c>
      <c r="P15" s="65">
        <f>SUM(G14:Y14)</f>
        <v>2280628</v>
      </c>
      <c r="Q15" s="17"/>
      <c r="R15" s="68" t="s">
        <v>82</v>
      </c>
      <c r="S15" s="67">
        <f>SUM(X9:Z9)</f>
        <v>7400</v>
      </c>
      <c r="T15" s="11">
        <v>91470</v>
      </c>
      <c r="U15" s="17"/>
      <c r="V15" s="17"/>
      <c r="W15" s="17"/>
      <c r="X15" s="17"/>
      <c r="Y15" s="17"/>
      <c r="Z15" s="17"/>
      <c r="AA15" s="17"/>
      <c r="AB15" s="17"/>
      <c r="AC15" s="17"/>
    </row>
    <row r="16" spans="1:45">
      <c r="A16" s="9">
        <v>13</v>
      </c>
      <c r="B16" s="9" t="s">
        <v>25</v>
      </c>
      <c r="C16" s="10" t="s">
        <v>61</v>
      </c>
      <c r="D16" s="9">
        <v>91469.97</v>
      </c>
      <c r="T16" s="1">
        <v>91470</v>
      </c>
    </row>
    <row r="17" spans="1:45">
      <c r="A17" s="9">
        <v>14</v>
      </c>
      <c r="B17" s="9" t="s">
        <v>25</v>
      </c>
      <c r="C17" s="10" t="s">
        <v>93</v>
      </c>
      <c r="D17" s="9">
        <v>291521</v>
      </c>
    </row>
    <row r="18" spans="1:45" ht="16.2" customHeight="1">
      <c r="A18" s="9">
        <v>15</v>
      </c>
      <c r="B18" s="9" t="s">
        <v>25</v>
      </c>
      <c r="C18" s="10" t="s">
        <v>62</v>
      </c>
      <c r="D18" s="9">
        <v>93778.02</v>
      </c>
    </row>
    <row r="19" spans="1:45">
      <c r="A19" s="9">
        <v>16</v>
      </c>
      <c r="B19" s="9" t="s">
        <v>25</v>
      </c>
      <c r="C19" s="10" t="s">
        <v>63</v>
      </c>
      <c r="D19" s="9">
        <v>15800</v>
      </c>
    </row>
    <row r="20" spans="1:45">
      <c r="A20" s="9">
        <v>17</v>
      </c>
      <c r="B20" s="9" t="s">
        <v>25</v>
      </c>
      <c r="C20" s="10" t="s">
        <v>64</v>
      </c>
      <c r="D20" s="9">
        <v>8709.99</v>
      </c>
    </row>
    <row r="21" spans="1:45" ht="18.600000000000001" thickBot="1">
      <c r="A21" s="120" t="s">
        <v>65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7"/>
      <c r="V21" s="7"/>
      <c r="W21" s="7"/>
      <c r="X21" s="7"/>
      <c r="Y21" s="78"/>
      <c r="Z21" s="69"/>
      <c r="AE21" s="121" t="s">
        <v>80</v>
      </c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2"/>
    </row>
    <row r="22" spans="1:45" ht="15" thickBot="1">
      <c r="A22" s="8" t="s">
        <v>2</v>
      </c>
      <c r="B22" s="8" t="s">
        <v>3</v>
      </c>
      <c r="C22" s="8" t="s">
        <v>4</v>
      </c>
      <c r="D22" s="8" t="s">
        <v>5</v>
      </c>
      <c r="F22" s="4" t="s">
        <v>6</v>
      </c>
      <c r="G22" s="4" t="s">
        <v>7</v>
      </c>
      <c r="H22" s="4" t="s">
        <v>8</v>
      </c>
      <c r="I22" s="5" t="s">
        <v>9</v>
      </c>
      <c r="J22" s="5" t="s">
        <v>10</v>
      </c>
      <c r="K22" s="5" t="s">
        <v>11</v>
      </c>
      <c r="L22" s="5" t="s">
        <v>12</v>
      </c>
      <c r="M22" s="5" t="s">
        <v>13</v>
      </c>
      <c r="N22" s="5" t="s">
        <v>14</v>
      </c>
      <c r="O22" s="5" t="s">
        <v>15</v>
      </c>
      <c r="P22" s="5" t="s">
        <v>16</v>
      </c>
      <c r="Q22" s="5" t="s">
        <v>17</v>
      </c>
      <c r="R22" s="5" t="s">
        <v>18</v>
      </c>
      <c r="S22" s="5" t="s">
        <v>19</v>
      </c>
      <c r="T22" s="5" t="s">
        <v>20</v>
      </c>
      <c r="U22" s="5" t="s">
        <v>21</v>
      </c>
      <c r="V22" s="5" t="s">
        <v>22</v>
      </c>
      <c r="W22" s="70" t="s">
        <v>24</v>
      </c>
      <c r="X22" s="77" t="s">
        <v>23</v>
      </c>
      <c r="Y22" s="86" t="s">
        <v>105</v>
      </c>
      <c r="Z22" s="68" t="s">
        <v>70</v>
      </c>
      <c r="AE22" s="100" t="s">
        <v>124</v>
      </c>
      <c r="AF22" s="91" t="s">
        <v>7</v>
      </c>
      <c r="AG22" s="91" t="s">
        <v>9</v>
      </c>
      <c r="AH22" s="91" t="s">
        <v>11</v>
      </c>
      <c r="AI22" s="91" t="s">
        <v>15</v>
      </c>
      <c r="AJ22" s="91" t="s">
        <v>17</v>
      </c>
      <c r="AK22" s="91" t="s">
        <v>19</v>
      </c>
      <c r="AL22" s="91" t="s">
        <v>20</v>
      </c>
      <c r="AM22" s="91" t="s">
        <v>21</v>
      </c>
      <c r="AN22" s="91" t="s">
        <v>22</v>
      </c>
      <c r="AO22" s="91" t="s">
        <v>8</v>
      </c>
      <c r="AP22" s="91" t="s">
        <v>10</v>
      </c>
      <c r="AQ22" s="91" t="s">
        <v>125</v>
      </c>
      <c r="AR22" s="91" t="s">
        <v>16</v>
      </c>
      <c r="AS22" s="91" t="s">
        <v>18</v>
      </c>
    </row>
    <row r="23" spans="1:45">
      <c r="A23" s="18">
        <v>1</v>
      </c>
      <c r="B23" s="18" t="s">
        <v>66</v>
      </c>
      <c r="C23" s="19" t="s">
        <v>26</v>
      </c>
      <c r="D23" s="18">
        <v>161777.97</v>
      </c>
      <c r="F23" s="11" t="s">
        <v>27</v>
      </c>
      <c r="G23" s="11">
        <v>175083</v>
      </c>
      <c r="H23" s="12">
        <v>20273</v>
      </c>
      <c r="I23" s="11">
        <v>180094</v>
      </c>
      <c r="J23" s="12">
        <v>17377</v>
      </c>
      <c r="K23" s="11">
        <v>197210</v>
      </c>
      <c r="L23" s="11">
        <f>SUM(M23:N23)</f>
        <v>12650</v>
      </c>
      <c r="M23" s="25">
        <v>9754</v>
      </c>
      <c r="N23" s="12">
        <v>2896</v>
      </c>
      <c r="O23" s="11">
        <v>50000</v>
      </c>
      <c r="P23" s="25">
        <v>19880</v>
      </c>
      <c r="Q23" s="11">
        <v>243140</v>
      </c>
      <c r="R23" s="25">
        <v>26508</v>
      </c>
      <c r="S23" s="11">
        <v>17907.7</v>
      </c>
      <c r="T23" s="11">
        <v>168151</v>
      </c>
      <c r="U23" s="11">
        <v>221668</v>
      </c>
      <c r="V23" s="11">
        <v>92919</v>
      </c>
      <c r="W23" s="71">
        <v>31500</v>
      </c>
      <c r="X23" s="74">
        <v>800</v>
      </c>
      <c r="Y23" s="87"/>
      <c r="Z23" s="82"/>
      <c r="AD23" s="33" t="s">
        <v>78</v>
      </c>
      <c r="AE23" s="50" t="s">
        <v>88</v>
      </c>
      <c r="AF23" s="90"/>
      <c r="AG23" s="90"/>
      <c r="AH23" s="90"/>
      <c r="AI23" s="90"/>
      <c r="AJ23" s="98"/>
      <c r="AK23" s="98"/>
      <c r="AL23" s="98"/>
      <c r="AM23" s="98"/>
      <c r="AN23" s="98"/>
      <c r="AO23" s="98"/>
      <c r="AP23" s="98"/>
      <c r="AQ23" s="98"/>
      <c r="AR23" s="98"/>
      <c r="AS23" s="98"/>
    </row>
    <row r="24" spans="1:45">
      <c r="A24" s="18">
        <v>2</v>
      </c>
      <c r="B24" s="18" t="s">
        <v>66</v>
      </c>
      <c r="C24" s="19" t="s">
        <v>28</v>
      </c>
      <c r="D24" s="18">
        <v>436871.98</v>
      </c>
      <c r="F24" s="11" t="s">
        <v>27</v>
      </c>
      <c r="G24" s="11">
        <v>8615.3799999999992</v>
      </c>
      <c r="H24" s="11"/>
      <c r="I24" s="11">
        <v>35906</v>
      </c>
      <c r="J24" s="11"/>
      <c r="K24" s="11">
        <v>10717</v>
      </c>
      <c r="L24" s="11"/>
      <c r="M24" s="11"/>
      <c r="N24" s="11"/>
      <c r="O24" s="11">
        <v>40000</v>
      </c>
      <c r="P24" s="11"/>
      <c r="Q24" s="11">
        <v>24969</v>
      </c>
      <c r="R24" s="11"/>
      <c r="S24" s="11">
        <v>168151</v>
      </c>
      <c r="T24" s="11">
        <v>1128</v>
      </c>
      <c r="U24" s="11"/>
      <c r="V24" s="11">
        <v>7378</v>
      </c>
      <c r="W24" s="71">
        <v>97500</v>
      </c>
      <c r="X24" s="74">
        <v>500</v>
      </c>
      <c r="Y24" s="87"/>
      <c r="Z24" s="82"/>
      <c r="AD24" s="34" t="s">
        <v>79</v>
      </c>
      <c r="AE24" s="50" t="s">
        <v>87</v>
      </c>
      <c r="AF24" s="90"/>
      <c r="AG24" s="90"/>
      <c r="AH24" s="90">
        <v>2000</v>
      </c>
      <c r="AI24" s="90"/>
      <c r="AJ24" s="98"/>
      <c r="AK24" s="98"/>
      <c r="AL24" s="98"/>
      <c r="AM24" s="98"/>
      <c r="AN24" s="98"/>
      <c r="AO24" s="98"/>
      <c r="AP24" s="98"/>
      <c r="AQ24" s="98"/>
      <c r="AR24" s="98"/>
      <c r="AS24" s="98"/>
    </row>
    <row r="25" spans="1:45">
      <c r="A25" s="18">
        <v>3</v>
      </c>
      <c r="B25" s="18" t="s">
        <v>66</v>
      </c>
      <c r="C25" s="19" t="s">
        <v>29</v>
      </c>
      <c r="D25" s="18">
        <v>460500.01</v>
      </c>
      <c r="F25" s="11" t="s">
        <v>27</v>
      </c>
      <c r="G25" s="11">
        <v>26971.45</v>
      </c>
      <c r="H25" s="11"/>
      <c r="I25" s="11"/>
      <c r="J25" s="11"/>
      <c r="K25" s="11"/>
      <c r="L25" s="11"/>
      <c r="M25" s="11"/>
      <c r="N25" s="11"/>
      <c r="O25" s="11">
        <v>17592</v>
      </c>
      <c r="P25" s="11"/>
      <c r="Q25" s="11">
        <v>55142</v>
      </c>
      <c r="R25" s="11"/>
      <c r="S25" s="11">
        <v>38470.769999999997</v>
      </c>
      <c r="T25" s="11">
        <v>958.9</v>
      </c>
      <c r="U25" s="11"/>
      <c r="V25" s="11"/>
      <c r="W25" s="71">
        <v>14000</v>
      </c>
      <c r="X25" s="74"/>
      <c r="Y25" s="87"/>
      <c r="Z25" s="82"/>
      <c r="AE25" s="50" t="s">
        <v>116</v>
      </c>
      <c r="AF25" s="90"/>
      <c r="AG25" s="90"/>
      <c r="AH25" s="90"/>
      <c r="AI25" s="90"/>
      <c r="AJ25" s="98"/>
      <c r="AK25" s="98"/>
      <c r="AL25" s="98"/>
      <c r="AM25" s="98"/>
      <c r="AN25" s="98"/>
      <c r="AO25" s="98"/>
      <c r="AP25" s="98"/>
      <c r="AQ25" s="98"/>
      <c r="AR25" s="98"/>
      <c r="AS25" s="98"/>
    </row>
    <row r="26" spans="1:45" ht="15" thickBot="1">
      <c r="A26" s="18">
        <v>4</v>
      </c>
      <c r="B26" s="18" t="s">
        <v>66</v>
      </c>
      <c r="C26" s="19" t="s">
        <v>30</v>
      </c>
      <c r="D26" s="18">
        <v>8750</v>
      </c>
      <c r="F26" s="11" t="s">
        <v>27</v>
      </c>
      <c r="G26" s="2"/>
      <c r="H26" s="2"/>
      <c r="I26" s="11"/>
      <c r="J26" s="2"/>
      <c r="K26" s="2"/>
      <c r="L26" s="2"/>
      <c r="M26" s="2"/>
      <c r="N26" s="2"/>
      <c r="O26" s="25">
        <v>91618</v>
      </c>
      <c r="P26" s="2"/>
      <c r="Q26" s="2"/>
      <c r="R26" s="2"/>
      <c r="S26" s="2"/>
      <c r="T26" s="11">
        <v>4337</v>
      </c>
      <c r="U26" s="2"/>
      <c r="V26" s="2"/>
      <c r="W26" s="71">
        <v>1000</v>
      </c>
      <c r="X26" s="74"/>
      <c r="Y26" s="87"/>
      <c r="Z26" s="82"/>
      <c r="AE26" s="99" t="s">
        <v>117</v>
      </c>
      <c r="AF26" s="92"/>
      <c r="AG26" s="92"/>
      <c r="AH26" s="92"/>
      <c r="AI26" s="92"/>
      <c r="AJ26" s="96"/>
      <c r="AK26" s="96"/>
      <c r="AL26" s="96"/>
      <c r="AM26" s="96"/>
      <c r="AN26" s="96"/>
      <c r="AO26" s="96"/>
      <c r="AP26" s="96"/>
      <c r="AQ26" s="96"/>
      <c r="AR26" s="96"/>
      <c r="AS26" s="96"/>
    </row>
    <row r="27" spans="1:45" ht="15" thickBot="1">
      <c r="A27" s="18">
        <v>5</v>
      </c>
      <c r="B27" s="18" t="s">
        <v>66</v>
      </c>
      <c r="C27" s="19" t="s">
        <v>31</v>
      </c>
      <c r="D27" s="18">
        <v>21800</v>
      </c>
      <c r="F27" s="11" t="s">
        <v>27</v>
      </c>
      <c r="G27" s="2"/>
      <c r="H27" s="2"/>
      <c r="I27" s="11"/>
      <c r="J27" s="2"/>
      <c r="K27" s="2"/>
      <c r="L27" s="2"/>
      <c r="M27" s="2"/>
      <c r="N27" s="2"/>
      <c r="O27" s="2"/>
      <c r="P27" s="2"/>
      <c r="Q27" s="2"/>
      <c r="R27" s="2"/>
      <c r="S27" s="2"/>
      <c r="T27" s="11">
        <v>29240</v>
      </c>
      <c r="U27" s="2"/>
      <c r="V27" s="2"/>
      <c r="W27" s="71">
        <v>3760</v>
      </c>
      <c r="X27" s="74"/>
      <c r="Y27" s="87"/>
      <c r="Z27" s="82"/>
      <c r="AD27" s="93" t="s">
        <v>89</v>
      </c>
      <c r="AE27" s="94">
        <f>SUM(AF27:AS27)</f>
        <v>2000</v>
      </c>
      <c r="AF27" s="95">
        <f t="shared" ref="AF27:AG27" si="14">SUM(AF23:AF26)</f>
        <v>0</v>
      </c>
      <c r="AG27" s="95">
        <f t="shared" si="14"/>
        <v>0</v>
      </c>
      <c r="AH27" s="95">
        <f>SUM(AH23:AH26)</f>
        <v>2000</v>
      </c>
      <c r="AI27" s="95">
        <f t="shared" ref="AI27:AS27" si="15">SUM(AI23:AI26)</f>
        <v>0</v>
      </c>
      <c r="AJ27" s="95">
        <f t="shared" si="15"/>
        <v>0</v>
      </c>
      <c r="AK27" s="95">
        <f t="shared" si="15"/>
        <v>0</v>
      </c>
      <c r="AL27" s="95">
        <f t="shared" si="15"/>
        <v>0</v>
      </c>
      <c r="AM27" s="95">
        <f t="shared" si="15"/>
        <v>0</v>
      </c>
      <c r="AN27" s="95">
        <f t="shared" si="15"/>
        <v>0</v>
      </c>
      <c r="AO27" s="95">
        <f t="shared" si="15"/>
        <v>0</v>
      </c>
      <c r="AP27" s="95">
        <f t="shared" si="15"/>
        <v>0</v>
      </c>
      <c r="AQ27" s="95">
        <f t="shared" si="15"/>
        <v>0</v>
      </c>
      <c r="AR27" s="95">
        <f t="shared" si="15"/>
        <v>0</v>
      </c>
      <c r="AS27" s="95">
        <f t="shared" si="15"/>
        <v>0</v>
      </c>
    </row>
    <row r="28" spans="1:45" ht="15" thickBot="1">
      <c r="A28" s="18">
        <v>6</v>
      </c>
      <c r="B28" s="18" t="s">
        <v>66</v>
      </c>
      <c r="C28" s="19" t="s">
        <v>32</v>
      </c>
      <c r="D28" s="18">
        <v>10499.99</v>
      </c>
      <c r="F28" s="11" t="s">
        <v>27</v>
      </c>
      <c r="G28" s="2"/>
      <c r="H28" s="2"/>
      <c r="I28" s="11"/>
      <c r="J28" s="2"/>
      <c r="K28" s="2"/>
      <c r="L28" s="2"/>
      <c r="M28" s="2"/>
      <c r="N28" s="2"/>
      <c r="O28" s="2"/>
      <c r="P28" s="2"/>
      <c r="Q28" s="2"/>
      <c r="R28" s="2"/>
      <c r="S28" s="2"/>
      <c r="T28" s="11">
        <v>9230.77</v>
      </c>
      <c r="U28" s="2"/>
      <c r="V28" s="2"/>
      <c r="W28" s="72">
        <v>46380</v>
      </c>
      <c r="X28" s="74"/>
      <c r="Y28" s="87"/>
      <c r="Z28" s="82"/>
    </row>
    <row r="29" spans="1:45" ht="29.4" thickBot="1">
      <c r="A29" s="18">
        <v>7</v>
      </c>
      <c r="B29" s="18" t="s">
        <v>66</v>
      </c>
      <c r="C29" s="19" t="s">
        <v>34</v>
      </c>
      <c r="D29" s="18">
        <v>102088</v>
      </c>
      <c r="F29" s="37" t="s">
        <v>33</v>
      </c>
      <c r="G29" s="3">
        <f t="shared" ref="G29:S29" si="16">SUM(G23:G27)</f>
        <v>210669.83000000002</v>
      </c>
      <c r="H29" s="3">
        <f>SUM(H23:H27)</f>
        <v>20273</v>
      </c>
      <c r="I29" s="3">
        <f t="shared" si="16"/>
        <v>216000</v>
      </c>
      <c r="J29" s="3">
        <f t="shared" si="16"/>
        <v>17377</v>
      </c>
      <c r="K29" s="3">
        <f t="shared" si="16"/>
        <v>207927</v>
      </c>
      <c r="L29" s="3">
        <f t="shared" si="16"/>
        <v>12650</v>
      </c>
      <c r="M29" s="3"/>
      <c r="N29" s="3"/>
      <c r="O29" s="3">
        <f t="shared" si="16"/>
        <v>199210</v>
      </c>
      <c r="P29" s="3">
        <f t="shared" si="16"/>
        <v>19880</v>
      </c>
      <c r="Q29" s="3">
        <f t="shared" si="16"/>
        <v>323251</v>
      </c>
      <c r="R29" s="3">
        <f t="shared" si="16"/>
        <v>26508</v>
      </c>
      <c r="S29" s="3">
        <f t="shared" si="16"/>
        <v>224529.47</v>
      </c>
      <c r="T29" s="3">
        <f>SUM(T23:T28)</f>
        <v>213045.66999999998</v>
      </c>
      <c r="U29" s="3">
        <f>SUM(U23:U27)</f>
        <v>221668</v>
      </c>
      <c r="V29" s="3">
        <f>SUM(V23:V27)</f>
        <v>100297</v>
      </c>
      <c r="W29" s="73">
        <f>SUM(W23:W28)</f>
        <v>194140</v>
      </c>
      <c r="X29" s="83">
        <f>SUM(X23:X28)</f>
        <v>1300</v>
      </c>
      <c r="Y29" s="88">
        <f>SUM(Y23:Y28)</f>
        <v>0</v>
      </c>
      <c r="Z29" s="84">
        <f>SUM(Z23:Z28)</f>
        <v>0</v>
      </c>
    </row>
    <row r="30" spans="1:45" ht="28.8">
      <c r="A30" s="18">
        <v>8</v>
      </c>
      <c r="B30" s="18" t="s">
        <v>66</v>
      </c>
      <c r="C30" s="19" t="s">
        <v>67</v>
      </c>
      <c r="D30" s="18">
        <v>288587</v>
      </c>
      <c r="F30" s="41" t="s">
        <v>35</v>
      </c>
      <c r="G30" s="36">
        <v>210989</v>
      </c>
      <c r="H30" s="36">
        <v>23194</v>
      </c>
      <c r="I30" s="36">
        <v>200855</v>
      </c>
      <c r="J30" s="36">
        <v>19880</v>
      </c>
      <c r="K30" s="36">
        <v>199210</v>
      </c>
      <c r="L30" s="36">
        <v>19880</v>
      </c>
      <c r="M30" s="36"/>
      <c r="N30" s="36"/>
      <c r="O30" s="36">
        <v>199210</v>
      </c>
      <c r="P30" s="36">
        <v>19880</v>
      </c>
      <c r="Q30" s="36">
        <v>304290</v>
      </c>
      <c r="R30" s="36">
        <v>26508</v>
      </c>
      <c r="S30" s="36">
        <v>211507</v>
      </c>
      <c r="T30" s="36">
        <v>210959</v>
      </c>
      <c r="U30" s="36">
        <v>222091</v>
      </c>
      <c r="V30" s="36">
        <v>105435</v>
      </c>
      <c r="W30" s="17"/>
      <c r="X30" s="17"/>
      <c r="Y30" s="17"/>
      <c r="Z30" s="17"/>
      <c r="AA30" s="17"/>
      <c r="AB30" s="17"/>
      <c r="AC30" s="17"/>
    </row>
    <row r="31" spans="1:45">
      <c r="A31" s="18">
        <v>9</v>
      </c>
      <c r="B31" s="18" t="s">
        <v>66</v>
      </c>
      <c r="C31" s="19" t="s">
        <v>37</v>
      </c>
      <c r="D31" s="18">
        <v>22231</v>
      </c>
      <c r="F31" s="43" t="s">
        <v>84</v>
      </c>
      <c r="G31" s="51">
        <f>(G30-G29)</f>
        <v>319.1699999999837</v>
      </c>
      <c r="H31" s="51">
        <f>(H30-H29)</f>
        <v>2921</v>
      </c>
      <c r="I31" s="51">
        <f t="shared" ref="I31" si="17">(I30-I29)</f>
        <v>-15145</v>
      </c>
      <c r="J31" s="51">
        <f t="shared" ref="J31" si="18">(J30-J29)</f>
        <v>2503</v>
      </c>
      <c r="K31" s="51">
        <f t="shared" ref="K31" si="19">(K30-K29)</f>
        <v>-8717</v>
      </c>
      <c r="L31" s="51">
        <f>(L30-L29)</f>
        <v>7230</v>
      </c>
      <c r="M31" s="51"/>
      <c r="N31" s="51"/>
      <c r="O31" s="51">
        <f t="shared" ref="O31" si="20">(O30-O29)</f>
        <v>0</v>
      </c>
      <c r="P31" s="51">
        <f t="shared" ref="P31" si="21">(P30-P29)</f>
        <v>0</v>
      </c>
      <c r="Q31" s="51">
        <f t="shared" ref="Q31" si="22">(Q30-Q29)</f>
        <v>-18961</v>
      </c>
      <c r="R31" s="51">
        <f t="shared" ref="R31" si="23">(R30-R29)</f>
        <v>0</v>
      </c>
      <c r="S31" s="51">
        <f t="shared" ref="S31" si="24">(S30-S29)</f>
        <v>-13022.470000000001</v>
      </c>
      <c r="T31" s="51">
        <f t="shared" ref="T31" si="25">(T30-T29)</f>
        <v>-2086.6699999999837</v>
      </c>
      <c r="U31" s="51">
        <f t="shared" ref="U31" si="26">(U30-U29)</f>
        <v>423</v>
      </c>
      <c r="V31" s="51">
        <f t="shared" ref="V31" si="27">(V30-V29)</f>
        <v>5138</v>
      </c>
      <c r="W31" s="28"/>
      <c r="X31" s="28"/>
      <c r="Y31" s="28"/>
      <c r="Z31" s="28"/>
      <c r="AA31" s="28"/>
      <c r="AB31" s="28"/>
      <c r="AC31" s="28"/>
    </row>
    <row r="32" spans="1:45" ht="28.8">
      <c r="A32" s="18">
        <v>10</v>
      </c>
      <c r="B32" s="18" t="s">
        <v>66</v>
      </c>
      <c r="C32" s="19" t="s">
        <v>57</v>
      </c>
      <c r="D32" s="18">
        <v>28499.99</v>
      </c>
      <c r="F32" s="14" t="s">
        <v>4</v>
      </c>
      <c r="G32" s="14" t="s">
        <v>38</v>
      </c>
      <c r="H32" s="15" t="s">
        <v>39</v>
      </c>
      <c r="I32" s="15" t="s">
        <v>40</v>
      </c>
      <c r="J32" s="5" t="s">
        <v>41</v>
      </c>
      <c r="K32" s="5" t="s">
        <v>42</v>
      </c>
      <c r="L32" s="26" t="s">
        <v>43</v>
      </c>
      <c r="M32" s="5" t="s">
        <v>44</v>
      </c>
      <c r="N32" s="26" t="s">
        <v>45</v>
      </c>
      <c r="O32" s="26" t="s">
        <v>46</v>
      </c>
      <c r="P32" s="26" t="s">
        <v>47</v>
      </c>
      <c r="Q32" s="26" t="s">
        <v>48</v>
      </c>
      <c r="R32" s="26" t="s">
        <v>49</v>
      </c>
      <c r="S32" s="27" t="s">
        <v>50</v>
      </c>
      <c r="T32" s="29" t="s">
        <v>51</v>
      </c>
      <c r="U32" s="30"/>
      <c r="V32" s="30"/>
      <c r="W32" s="17"/>
      <c r="X32" s="30"/>
      <c r="Y32" s="30"/>
      <c r="Z32" s="17"/>
      <c r="AA32" s="17"/>
      <c r="AB32" s="17"/>
      <c r="AC32" s="17"/>
    </row>
    <row r="33" spans="1:46">
      <c r="A33" s="18">
        <v>11</v>
      </c>
      <c r="B33" s="18" t="s">
        <v>66</v>
      </c>
      <c r="C33" s="19" t="s">
        <v>60</v>
      </c>
      <c r="D33" s="18">
        <v>37434.019999999997</v>
      </c>
      <c r="F33" s="11" t="s">
        <v>3</v>
      </c>
      <c r="G33" s="16">
        <v>45972</v>
      </c>
      <c r="H33" s="16">
        <v>45972</v>
      </c>
      <c r="I33" s="16">
        <v>45972</v>
      </c>
      <c r="J33" s="16">
        <v>45972</v>
      </c>
      <c r="K33" s="16">
        <v>45972</v>
      </c>
      <c r="L33" s="16">
        <v>45972</v>
      </c>
      <c r="M33" s="16">
        <v>45972</v>
      </c>
      <c r="N33" s="16">
        <v>45972</v>
      </c>
      <c r="O33" s="16">
        <v>45972</v>
      </c>
      <c r="P33" s="16">
        <v>45972</v>
      </c>
      <c r="Q33" s="16">
        <v>45972</v>
      </c>
      <c r="R33" s="16">
        <v>45972</v>
      </c>
      <c r="S33" s="16">
        <v>45972</v>
      </c>
      <c r="T33" s="16">
        <v>45972</v>
      </c>
      <c r="U33" s="31"/>
      <c r="V33" s="31"/>
      <c r="W33" s="31"/>
      <c r="X33" s="31"/>
      <c r="Y33" s="31"/>
      <c r="Z33" s="31"/>
      <c r="AA33" s="31"/>
      <c r="AB33" s="31"/>
      <c r="AC33" s="31"/>
    </row>
    <row r="34" spans="1:46" ht="15" thickBot="1">
      <c r="A34" s="18">
        <v>12</v>
      </c>
      <c r="B34" s="18" t="s">
        <v>66</v>
      </c>
      <c r="C34" s="19" t="s">
        <v>94</v>
      </c>
      <c r="D34" s="18">
        <v>93999.98</v>
      </c>
      <c r="F34" s="47" t="s">
        <v>59</v>
      </c>
      <c r="G34" s="45">
        <v>460500</v>
      </c>
      <c r="H34" s="46">
        <v>415871</v>
      </c>
      <c r="I34" s="46">
        <v>288594</v>
      </c>
      <c r="J34" s="46">
        <v>159778</v>
      </c>
      <c r="K34" s="46">
        <v>101988</v>
      </c>
      <c r="L34" s="46">
        <v>22231</v>
      </c>
      <c r="M34" s="46">
        <v>10500</v>
      </c>
      <c r="N34" s="46">
        <v>8750</v>
      </c>
      <c r="O34" s="47">
        <v>21800</v>
      </c>
      <c r="P34" s="45">
        <v>28500</v>
      </c>
      <c r="Q34" s="46">
        <v>0</v>
      </c>
      <c r="R34" s="46">
        <v>37434</v>
      </c>
      <c r="S34" s="46">
        <v>255670</v>
      </c>
      <c r="T34" s="46">
        <v>2530</v>
      </c>
      <c r="U34" s="17"/>
      <c r="V34" s="17"/>
      <c r="W34" s="17"/>
      <c r="X34" s="17"/>
      <c r="Y34" s="17"/>
      <c r="Z34" s="17"/>
      <c r="AA34" s="17"/>
      <c r="AB34" s="17"/>
      <c r="AC34" s="17"/>
    </row>
    <row r="35" spans="1:46" ht="43.8" thickBot="1">
      <c r="A35" s="18">
        <v>13</v>
      </c>
      <c r="B35" s="18" t="s">
        <v>66</v>
      </c>
      <c r="C35" s="19" t="s">
        <v>95</v>
      </c>
      <c r="D35" s="18">
        <v>255673</v>
      </c>
      <c r="F35" s="38" t="s">
        <v>81</v>
      </c>
      <c r="G35" s="35">
        <f>SUM(G30:V30)</f>
        <v>1973888</v>
      </c>
      <c r="I35" s="39" t="s">
        <v>33</v>
      </c>
      <c r="J35" s="13">
        <f>SUM(G29:V29)-AE32</f>
        <v>2013285.97</v>
      </c>
      <c r="L35" s="63" t="s">
        <v>77</v>
      </c>
      <c r="M35" s="64">
        <f>(G35-J35)</f>
        <v>-39397.969999999972</v>
      </c>
      <c r="O35" s="40" t="s">
        <v>91</v>
      </c>
      <c r="P35" s="44">
        <f>SUM(G34:T34)</f>
        <v>1814146</v>
      </c>
      <c r="Q35" s="17"/>
      <c r="R35" s="48" t="s">
        <v>82</v>
      </c>
      <c r="S35" s="49">
        <f>SUM(X29:Z29)</f>
        <v>1300</v>
      </c>
      <c r="T35" s="32"/>
    </row>
    <row r="36" spans="1:46">
      <c r="A36" s="18">
        <v>14</v>
      </c>
      <c r="B36" s="18" t="s">
        <v>66</v>
      </c>
      <c r="C36" s="19" t="s">
        <v>68</v>
      </c>
      <c r="D36" s="18">
        <v>45175</v>
      </c>
    </row>
    <row r="37" spans="1:46" ht="18.600000000000001" thickBot="1">
      <c r="A37" s="120" t="s">
        <v>69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7"/>
      <c r="V37" s="7"/>
      <c r="W37" s="7"/>
      <c r="X37" s="78"/>
      <c r="Y37" s="78"/>
      <c r="Z37" s="79"/>
      <c r="AA37" s="31"/>
      <c r="AB37" s="31"/>
      <c r="AC37" s="31"/>
      <c r="AE37" s="117" t="s">
        <v>80</v>
      </c>
      <c r="AF37" s="118"/>
      <c r="AG37" s="118"/>
      <c r="AH37" s="118"/>
      <c r="AI37" s="118"/>
      <c r="AJ37" s="118"/>
      <c r="AK37" s="118"/>
      <c r="AL37" s="118"/>
      <c r="AM37" s="118"/>
      <c r="AN37" s="118"/>
      <c r="AO37" s="118"/>
      <c r="AP37" s="118"/>
      <c r="AQ37" s="118"/>
      <c r="AR37" s="118"/>
      <c r="AS37" s="118"/>
    </row>
    <row r="38" spans="1:46" ht="15" thickBot="1">
      <c r="A38" s="8" t="s">
        <v>2</v>
      </c>
      <c r="B38" s="8" t="s">
        <v>3</v>
      </c>
      <c r="C38" s="8" t="s">
        <v>4</v>
      </c>
      <c r="D38" s="8" t="s">
        <v>5</v>
      </c>
      <c r="F38" s="4" t="s">
        <v>6</v>
      </c>
      <c r="G38" s="4" t="s">
        <v>7</v>
      </c>
      <c r="H38" s="4" t="s">
        <v>8</v>
      </c>
      <c r="I38" s="5" t="s">
        <v>9</v>
      </c>
      <c r="J38" s="5" t="s">
        <v>10</v>
      </c>
      <c r="K38" s="5" t="s">
        <v>11</v>
      </c>
      <c r="L38" s="5" t="s">
        <v>12</v>
      </c>
      <c r="M38" s="5" t="s">
        <v>13</v>
      </c>
      <c r="N38" s="5" t="s">
        <v>14</v>
      </c>
      <c r="O38" s="5" t="s">
        <v>15</v>
      </c>
      <c r="P38" s="5" t="s">
        <v>16</v>
      </c>
      <c r="Q38" s="5" t="s">
        <v>17</v>
      </c>
      <c r="R38" s="5" t="s">
        <v>18</v>
      </c>
      <c r="S38" s="5" t="s">
        <v>19</v>
      </c>
      <c r="T38" s="5" t="s">
        <v>20</v>
      </c>
      <c r="U38" s="5" t="s">
        <v>21</v>
      </c>
      <c r="V38" s="5" t="s">
        <v>22</v>
      </c>
      <c r="W38" s="70" t="s">
        <v>24</v>
      </c>
      <c r="X38" s="48" t="s">
        <v>23</v>
      </c>
      <c r="Y38" s="86" t="s">
        <v>105</v>
      </c>
      <c r="Z38" s="68" t="s">
        <v>70</v>
      </c>
      <c r="AA38" s="31"/>
      <c r="AB38" s="31"/>
      <c r="AC38" s="31"/>
      <c r="AE38" s="100" t="s">
        <v>124</v>
      </c>
      <c r="AF38" s="91" t="s">
        <v>7</v>
      </c>
      <c r="AG38" s="91" t="s">
        <v>9</v>
      </c>
      <c r="AH38" s="91" t="s">
        <v>11</v>
      </c>
      <c r="AI38" s="91" t="s">
        <v>15</v>
      </c>
      <c r="AJ38" s="91" t="s">
        <v>17</v>
      </c>
      <c r="AK38" s="91" t="s">
        <v>19</v>
      </c>
      <c r="AL38" s="91" t="s">
        <v>20</v>
      </c>
      <c r="AM38" s="91" t="s">
        <v>21</v>
      </c>
      <c r="AN38" s="91" t="s">
        <v>22</v>
      </c>
      <c r="AO38" s="91" t="s">
        <v>8</v>
      </c>
      <c r="AP38" s="91" t="s">
        <v>10</v>
      </c>
      <c r="AQ38" s="91" t="s">
        <v>125</v>
      </c>
      <c r="AR38" s="91" t="s">
        <v>16</v>
      </c>
      <c r="AS38" s="91" t="s">
        <v>18</v>
      </c>
    </row>
    <row r="39" spans="1:46">
      <c r="A39" s="20">
        <v>1</v>
      </c>
      <c r="B39" s="20" t="s">
        <v>71</v>
      </c>
      <c r="C39" s="21" t="s">
        <v>26</v>
      </c>
      <c r="D39" s="20">
        <v>137274</v>
      </c>
      <c r="F39" s="11" t="s">
        <v>27</v>
      </c>
      <c r="G39" s="11">
        <v>158774</v>
      </c>
      <c r="H39" s="12">
        <v>19433</v>
      </c>
      <c r="I39" s="11">
        <v>38382.75</v>
      </c>
      <c r="J39" s="12">
        <v>16658</v>
      </c>
      <c r="K39" s="11">
        <v>190914</v>
      </c>
      <c r="L39" s="11">
        <f>SUM(M39:N39)</f>
        <v>2776</v>
      </c>
      <c r="M39" s="11"/>
      <c r="N39" s="12">
        <v>2776</v>
      </c>
      <c r="O39" s="11">
        <v>60000</v>
      </c>
      <c r="P39" s="25">
        <v>16658</v>
      </c>
      <c r="Q39" s="11">
        <v>221508</v>
      </c>
      <c r="R39" s="25">
        <v>11152</v>
      </c>
      <c r="S39" s="11">
        <v>154342</v>
      </c>
      <c r="T39" s="11">
        <v>155059</v>
      </c>
      <c r="U39" s="11">
        <v>209508</v>
      </c>
      <c r="V39" s="11">
        <v>94770</v>
      </c>
      <c r="W39" s="72">
        <v>35000</v>
      </c>
      <c r="X39" s="74"/>
      <c r="Y39" s="87">
        <v>9000</v>
      </c>
      <c r="Z39" s="75">
        <v>10000</v>
      </c>
      <c r="AA39" s="31"/>
      <c r="AB39" s="31"/>
      <c r="AC39" s="31"/>
      <c r="AD39" s="33" t="s">
        <v>78</v>
      </c>
      <c r="AE39" s="50" t="s">
        <v>88</v>
      </c>
      <c r="AF39" s="90"/>
      <c r="AG39" s="90"/>
      <c r="AH39" s="90"/>
      <c r="AI39" s="90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102" t="s">
        <v>118</v>
      </c>
    </row>
    <row r="40" spans="1:46" ht="15" thickBot="1">
      <c r="A40" s="20">
        <v>2</v>
      </c>
      <c r="B40" s="20" t="s">
        <v>71</v>
      </c>
      <c r="C40" s="21" t="s">
        <v>28</v>
      </c>
      <c r="D40" s="20">
        <v>435219.01</v>
      </c>
      <c r="F40" s="11" t="s">
        <v>27</v>
      </c>
      <c r="G40" s="11">
        <v>46830.67</v>
      </c>
      <c r="H40" s="11"/>
      <c r="I40" s="11">
        <v>149366</v>
      </c>
      <c r="J40" s="11"/>
      <c r="K40" s="11"/>
      <c r="L40" s="11"/>
      <c r="M40" s="11"/>
      <c r="N40" s="11"/>
      <c r="O40" s="11">
        <v>45000</v>
      </c>
      <c r="P40" s="2"/>
      <c r="Q40" s="11">
        <v>67391</v>
      </c>
      <c r="R40" s="11"/>
      <c r="S40" s="11">
        <v>44369.279999999999</v>
      </c>
      <c r="T40" s="11">
        <v>44369.279999999999</v>
      </c>
      <c r="U40" s="11"/>
      <c r="V40" s="11"/>
      <c r="W40" s="72">
        <v>800</v>
      </c>
      <c r="X40" s="74"/>
      <c r="Y40" s="87">
        <v>3000</v>
      </c>
      <c r="Z40" s="75"/>
      <c r="AA40" s="31"/>
      <c r="AB40" s="31"/>
      <c r="AC40" s="31"/>
      <c r="AD40" s="34" t="s">
        <v>79</v>
      </c>
      <c r="AE40" s="50" t="s">
        <v>87</v>
      </c>
      <c r="AF40" s="90"/>
      <c r="AG40" s="90"/>
      <c r="AH40" s="90">
        <v>5000</v>
      </c>
      <c r="AI40" s="90"/>
      <c r="AJ40" s="90">
        <v>1000</v>
      </c>
      <c r="AK40" s="98"/>
      <c r="AL40" s="98"/>
      <c r="AM40" s="98"/>
      <c r="AN40" s="98"/>
      <c r="AO40" s="98"/>
      <c r="AP40" s="98"/>
      <c r="AQ40" s="98"/>
      <c r="AR40" s="98"/>
      <c r="AS40" s="98"/>
      <c r="AT40" s="101">
        <v>5527</v>
      </c>
    </row>
    <row r="41" spans="1:46">
      <c r="A41" s="20">
        <v>3</v>
      </c>
      <c r="B41" s="20" t="s">
        <v>71</v>
      </c>
      <c r="C41" s="21" t="s">
        <v>29</v>
      </c>
      <c r="D41" s="20">
        <v>451499.99</v>
      </c>
      <c r="F41" s="11" t="s">
        <v>27</v>
      </c>
      <c r="G41" s="11"/>
      <c r="H41" s="11"/>
      <c r="I41" s="11">
        <v>5419.35</v>
      </c>
      <c r="J41" s="11"/>
      <c r="K41" s="11"/>
      <c r="L41" s="11"/>
      <c r="M41" s="11"/>
      <c r="N41" s="11"/>
      <c r="O41" s="11">
        <v>40000</v>
      </c>
      <c r="P41" s="11"/>
      <c r="Q41" s="11">
        <v>1623</v>
      </c>
      <c r="R41" s="11"/>
      <c r="S41" s="11"/>
      <c r="T41" s="11"/>
      <c r="U41" s="11"/>
      <c r="V41" s="11"/>
      <c r="W41" s="72">
        <v>1500</v>
      </c>
      <c r="X41" s="74"/>
      <c r="Y41" s="87"/>
      <c r="Z41" s="75"/>
      <c r="AA41" s="31"/>
      <c r="AB41" s="31"/>
      <c r="AC41" s="31"/>
      <c r="AE41" s="50" t="s">
        <v>116</v>
      </c>
      <c r="AF41" s="90"/>
      <c r="AG41" s="90"/>
      <c r="AH41" s="90"/>
      <c r="AI41" s="90"/>
      <c r="AJ41" s="98"/>
      <c r="AK41" s="98"/>
      <c r="AL41" s="98"/>
      <c r="AM41" s="98"/>
      <c r="AN41" s="98"/>
      <c r="AO41" s="98"/>
      <c r="AP41" s="98"/>
      <c r="AQ41" s="98"/>
      <c r="AR41" s="98"/>
      <c r="AS41" s="98"/>
    </row>
    <row r="42" spans="1:46" ht="15" thickBot="1">
      <c r="A42" s="20">
        <v>4</v>
      </c>
      <c r="B42" s="20" t="s">
        <v>71</v>
      </c>
      <c r="C42" s="21" t="s">
        <v>30</v>
      </c>
      <c r="D42" s="20">
        <v>8435.01</v>
      </c>
      <c r="F42" s="11" t="s">
        <v>27</v>
      </c>
      <c r="G42" s="2"/>
      <c r="H42" s="2"/>
      <c r="I42" s="11">
        <v>3028.57</v>
      </c>
      <c r="J42" s="2"/>
      <c r="K42" s="2"/>
      <c r="L42" s="2"/>
      <c r="M42" s="2"/>
      <c r="N42" s="2"/>
      <c r="O42" s="11">
        <v>50000</v>
      </c>
      <c r="P42" s="2"/>
      <c r="Q42" s="2"/>
      <c r="R42" s="2"/>
      <c r="S42" s="2"/>
      <c r="T42" s="11"/>
      <c r="U42" s="2"/>
      <c r="V42" s="2"/>
      <c r="W42" s="72">
        <v>1570</v>
      </c>
      <c r="X42" s="74"/>
      <c r="Y42" s="87"/>
      <c r="Z42" s="75"/>
      <c r="AA42" s="31"/>
      <c r="AB42" s="31"/>
      <c r="AC42" s="31"/>
      <c r="AE42" s="99" t="s">
        <v>117</v>
      </c>
      <c r="AF42" s="92"/>
      <c r="AG42" s="92"/>
      <c r="AH42" s="92"/>
      <c r="AI42" s="92"/>
      <c r="AJ42" s="96"/>
      <c r="AK42" s="96"/>
      <c r="AL42" s="96"/>
      <c r="AM42" s="96"/>
      <c r="AN42" s="96"/>
      <c r="AO42" s="96"/>
      <c r="AP42" s="96"/>
      <c r="AQ42" s="96"/>
      <c r="AR42" s="96"/>
      <c r="AS42" s="96"/>
    </row>
    <row r="43" spans="1:46" ht="15" thickBot="1">
      <c r="A43" s="20">
        <v>5</v>
      </c>
      <c r="B43" s="20" t="s">
        <v>71</v>
      </c>
      <c r="C43" s="21" t="s">
        <v>31</v>
      </c>
      <c r="D43" s="20">
        <v>21800</v>
      </c>
      <c r="F43" s="11" t="s">
        <v>27</v>
      </c>
      <c r="G43" s="2"/>
      <c r="H43" s="2"/>
      <c r="I43" s="11"/>
      <c r="J43" s="2"/>
      <c r="K43" s="2"/>
      <c r="L43" s="2"/>
      <c r="M43" s="2"/>
      <c r="N43" s="2"/>
      <c r="O43" s="11"/>
      <c r="P43" s="2"/>
      <c r="Q43" s="2"/>
      <c r="R43" s="2"/>
      <c r="S43" s="2"/>
      <c r="T43" s="11"/>
      <c r="U43" s="2"/>
      <c r="V43" s="2"/>
      <c r="W43" s="71">
        <v>25000</v>
      </c>
      <c r="X43" s="74"/>
      <c r="Y43" s="87"/>
      <c r="Z43" s="75"/>
      <c r="AA43" s="31"/>
      <c r="AB43" s="31"/>
      <c r="AC43" s="31"/>
      <c r="AD43" s="93" t="s">
        <v>89</v>
      </c>
      <c r="AE43" s="94">
        <f>SUM(AF43:AS43)</f>
        <v>6000</v>
      </c>
      <c r="AF43" s="95">
        <f t="shared" ref="AF43:AG43" si="28">SUM(AF39:AF42)</f>
        <v>0</v>
      </c>
      <c r="AG43" s="95">
        <f t="shared" si="28"/>
        <v>0</v>
      </c>
      <c r="AH43" s="95">
        <f>SUM(AH39:AH42)</f>
        <v>5000</v>
      </c>
      <c r="AI43" s="95">
        <f t="shared" ref="AI43:AS43" si="29">SUM(AI39:AI42)</f>
        <v>0</v>
      </c>
      <c r="AJ43" s="95">
        <f t="shared" si="29"/>
        <v>1000</v>
      </c>
      <c r="AK43" s="95">
        <f t="shared" si="29"/>
        <v>0</v>
      </c>
      <c r="AL43" s="95">
        <f t="shared" si="29"/>
        <v>0</v>
      </c>
      <c r="AM43" s="95">
        <f t="shared" si="29"/>
        <v>0</v>
      </c>
      <c r="AN43" s="95">
        <f t="shared" si="29"/>
        <v>0</v>
      </c>
      <c r="AO43" s="95">
        <f t="shared" si="29"/>
        <v>0</v>
      </c>
      <c r="AP43" s="95">
        <f t="shared" si="29"/>
        <v>0</v>
      </c>
      <c r="AQ43" s="95">
        <f t="shared" si="29"/>
        <v>0</v>
      </c>
      <c r="AR43" s="95">
        <f t="shared" si="29"/>
        <v>0</v>
      </c>
      <c r="AS43" s="95">
        <f t="shared" si="29"/>
        <v>0</v>
      </c>
    </row>
    <row r="44" spans="1:46" ht="15" thickBot="1">
      <c r="A44" s="20">
        <v>6</v>
      </c>
      <c r="B44" s="20" t="s">
        <v>71</v>
      </c>
      <c r="C44" s="21" t="s">
        <v>32</v>
      </c>
      <c r="D44" s="20">
        <v>10499.99</v>
      </c>
      <c r="F44" s="11" t="s">
        <v>27</v>
      </c>
      <c r="G44" s="2"/>
      <c r="H44" s="2"/>
      <c r="I44" s="11"/>
      <c r="J44" s="2"/>
      <c r="K44" s="2"/>
      <c r="L44" s="2"/>
      <c r="M44" s="2"/>
      <c r="N44" s="2"/>
      <c r="O44" s="11"/>
      <c r="P44" s="2"/>
      <c r="Q44" s="2"/>
      <c r="R44" s="2"/>
      <c r="S44" s="2"/>
      <c r="T44" s="11"/>
      <c r="U44" s="2"/>
      <c r="V44" s="2"/>
      <c r="W44" s="71">
        <v>2810</v>
      </c>
      <c r="X44" s="74"/>
      <c r="Y44" s="87"/>
      <c r="Z44" s="75"/>
      <c r="AA44" s="31"/>
      <c r="AB44" s="31"/>
    </row>
    <row r="45" spans="1:46" ht="29.4" thickBot="1">
      <c r="A45" s="20">
        <v>7</v>
      </c>
      <c r="B45" s="20" t="s">
        <v>71</v>
      </c>
      <c r="C45" s="21" t="s">
        <v>34</v>
      </c>
      <c r="D45" s="20">
        <v>102187.99</v>
      </c>
      <c r="F45" s="37" t="s">
        <v>33</v>
      </c>
      <c r="G45" s="3">
        <f t="shared" ref="G45:S45" si="30">SUM(G39:G43)</f>
        <v>205604.66999999998</v>
      </c>
      <c r="H45" s="3">
        <f t="shared" si="30"/>
        <v>19433</v>
      </c>
      <c r="I45" s="3">
        <f>SUM(I39:I43)</f>
        <v>196196.67</v>
      </c>
      <c r="J45" s="3">
        <f>SUM(J39:J44)</f>
        <v>16658</v>
      </c>
      <c r="K45" s="3">
        <f t="shared" si="30"/>
        <v>190914</v>
      </c>
      <c r="L45" s="3">
        <f t="shared" si="30"/>
        <v>2776</v>
      </c>
      <c r="M45" s="3"/>
      <c r="N45" s="3"/>
      <c r="O45" s="3">
        <f t="shared" si="30"/>
        <v>195000</v>
      </c>
      <c r="P45" s="3">
        <f t="shared" si="30"/>
        <v>16658</v>
      </c>
      <c r="Q45" s="3">
        <f t="shared" si="30"/>
        <v>290522</v>
      </c>
      <c r="R45" s="3">
        <f t="shared" si="30"/>
        <v>11152</v>
      </c>
      <c r="S45" s="3">
        <f t="shared" si="30"/>
        <v>198711.28</v>
      </c>
      <c r="T45" s="3">
        <f>SUM(T39:T44)</f>
        <v>199428.28</v>
      </c>
      <c r="U45" s="3">
        <f>SUM(U39:U43)</f>
        <v>209508</v>
      </c>
      <c r="V45" s="3">
        <f>SUM(V39:V43)</f>
        <v>94770</v>
      </c>
      <c r="W45" s="73">
        <f>SUM(W39:W44)</f>
        <v>66680</v>
      </c>
      <c r="X45" s="80">
        <f>SUM(X39:X43)</f>
        <v>0</v>
      </c>
      <c r="Y45" s="80">
        <f>SUM(Y39:Y43)</f>
        <v>12000</v>
      </c>
      <c r="Z45" s="81">
        <f>SUM(Z39:Z43)</f>
        <v>10000</v>
      </c>
      <c r="AA45" s="31"/>
      <c r="AB45" s="31"/>
    </row>
    <row r="46" spans="1:46" ht="43.2">
      <c r="A46" s="20">
        <v>8</v>
      </c>
      <c r="B46" s="20" t="s">
        <v>71</v>
      </c>
      <c r="C46" s="21" t="s">
        <v>36</v>
      </c>
      <c r="D46" s="20">
        <v>237511</v>
      </c>
      <c r="F46" s="41" t="s">
        <v>81</v>
      </c>
      <c r="G46" s="36">
        <v>205605.13</v>
      </c>
      <c r="H46" s="36">
        <v>19433</v>
      </c>
      <c r="I46" s="36">
        <v>196196.55</v>
      </c>
      <c r="J46" s="36">
        <v>16658</v>
      </c>
      <c r="K46" s="36">
        <v>195914</v>
      </c>
      <c r="L46" s="36">
        <v>16658</v>
      </c>
      <c r="M46" s="36"/>
      <c r="N46" s="36"/>
      <c r="O46" s="36">
        <v>195064</v>
      </c>
      <c r="P46" s="36">
        <v>16658</v>
      </c>
      <c r="Q46" s="36">
        <v>291522</v>
      </c>
      <c r="R46" s="36">
        <v>22209</v>
      </c>
      <c r="S46" s="36">
        <v>198711.28</v>
      </c>
      <c r="T46" s="36">
        <v>199428.28</v>
      </c>
      <c r="U46" s="36">
        <v>209508.89</v>
      </c>
      <c r="V46" s="36">
        <v>94770.49</v>
      </c>
      <c r="W46" s="17"/>
      <c r="X46" s="17"/>
      <c r="Y46" s="17"/>
      <c r="Z46" s="17"/>
      <c r="AA46" s="17"/>
      <c r="AB46" s="17"/>
    </row>
    <row r="47" spans="1:46" ht="21" customHeight="1">
      <c r="A47" s="20">
        <v>9</v>
      </c>
      <c r="B47" s="20" t="s">
        <v>71</v>
      </c>
      <c r="C47" s="21" t="s">
        <v>37</v>
      </c>
      <c r="D47" s="20">
        <v>21027.01</v>
      </c>
      <c r="F47" s="43" t="s">
        <v>84</v>
      </c>
      <c r="G47" s="51">
        <f>(G46-G45)</f>
        <v>0.46000000002095476</v>
      </c>
      <c r="H47" s="51">
        <f t="shared" ref="H47:V47" si="31">(H46-H45)</f>
        <v>0</v>
      </c>
      <c r="I47" s="51">
        <f t="shared" si="31"/>
        <v>-0.12000000002444722</v>
      </c>
      <c r="J47" s="51">
        <f t="shared" si="31"/>
        <v>0</v>
      </c>
      <c r="K47" s="51">
        <f t="shared" si="31"/>
        <v>5000</v>
      </c>
      <c r="L47" s="51">
        <f t="shared" si="31"/>
        <v>13882</v>
      </c>
      <c r="M47" s="51"/>
      <c r="N47" s="51"/>
      <c r="O47" s="51">
        <f t="shared" si="31"/>
        <v>64</v>
      </c>
      <c r="P47" s="51">
        <f t="shared" si="31"/>
        <v>0</v>
      </c>
      <c r="Q47" s="51">
        <f t="shared" si="31"/>
        <v>1000</v>
      </c>
      <c r="R47" s="51">
        <f t="shared" si="31"/>
        <v>11057</v>
      </c>
      <c r="S47" s="51">
        <f t="shared" si="31"/>
        <v>0</v>
      </c>
      <c r="T47" s="51">
        <f t="shared" si="31"/>
        <v>0</v>
      </c>
      <c r="U47" s="51">
        <f t="shared" si="31"/>
        <v>0.89000000001396984</v>
      </c>
      <c r="V47" s="51">
        <f t="shared" si="31"/>
        <v>0.49000000000523869</v>
      </c>
      <c r="W47" s="28"/>
      <c r="X47" s="28"/>
      <c r="Y47" s="28"/>
      <c r="Z47" s="28"/>
      <c r="AA47" s="28"/>
      <c r="AB47" s="28"/>
    </row>
    <row r="48" spans="1:46" ht="28.8">
      <c r="A48" s="20">
        <v>10</v>
      </c>
      <c r="B48" s="20" t="s">
        <v>71</v>
      </c>
      <c r="C48" s="21" t="s">
        <v>57</v>
      </c>
      <c r="D48" s="20">
        <v>0</v>
      </c>
      <c r="F48" s="14" t="s">
        <v>4</v>
      </c>
      <c r="G48" s="14" t="s">
        <v>38</v>
      </c>
      <c r="H48" s="15" t="s">
        <v>39</v>
      </c>
      <c r="I48" s="15" t="s">
        <v>40</v>
      </c>
      <c r="J48" s="15" t="s">
        <v>41</v>
      </c>
      <c r="K48" s="15" t="s">
        <v>42</v>
      </c>
      <c r="L48" s="27" t="s">
        <v>43</v>
      </c>
      <c r="M48" s="15" t="s">
        <v>44</v>
      </c>
      <c r="N48" s="27" t="s">
        <v>45</v>
      </c>
      <c r="O48" s="27" t="s">
        <v>46</v>
      </c>
      <c r="P48" s="27" t="s">
        <v>47</v>
      </c>
      <c r="Q48" s="27" t="s">
        <v>48</v>
      </c>
      <c r="R48" s="27" t="s">
        <v>49</v>
      </c>
      <c r="S48" s="27" t="s">
        <v>50</v>
      </c>
      <c r="T48" s="42" t="s">
        <v>51</v>
      </c>
      <c r="U48" s="42" t="s">
        <v>72</v>
      </c>
      <c r="V48" s="42" t="s">
        <v>73</v>
      </c>
      <c r="W48" s="30"/>
      <c r="X48" s="30"/>
      <c r="Y48" s="30"/>
      <c r="Z48" s="30"/>
      <c r="AA48" s="30"/>
      <c r="AB48" s="30"/>
    </row>
    <row r="49" spans="1:46" ht="19.2" customHeight="1">
      <c r="A49" s="20">
        <v>11</v>
      </c>
      <c r="B49" s="20" t="s">
        <v>71</v>
      </c>
      <c r="C49" s="21" t="s">
        <v>60</v>
      </c>
      <c r="D49" s="20">
        <v>0</v>
      </c>
      <c r="F49" s="11" t="s">
        <v>3</v>
      </c>
      <c r="G49" s="16">
        <v>46003</v>
      </c>
      <c r="H49" s="16">
        <v>46003</v>
      </c>
      <c r="I49" s="16">
        <v>46003</v>
      </c>
      <c r="J49" s="16">
        <v>46003</v>
      </c>
      <c r="K49" s="16">
        <v>46003</v>
      </c>
      <c r="L49" s="16">
        <v>46003</v>
      </c>
      <c r="M49" s="16">
        <v>46003</v>
      </c>
      <c r="N49" s="16">
        <v>46003</v>
      </c>
      <c r="O49" s="16">
        <v>46003</v>
      </c>
      <c r="P49" s="16">
        <v>46003</v>
      </c>
      <c r="Q49" s="16">
        <v>46003</v>
      </c>
      <c r="R49" s="16">
        <v>46003</v>
      </c>
      <c r="S49" s="16">
        <v>46003</v>
      </c>
      <c r="T49" s="16">
        <v>46003</v>
      </c>
      <c r="U49" s="16">
        <v>46007</v>
      </c>
      <c r="V49" s="16">
        <v>46007</v>
      </c>
      <c r="W49" s="31"/>
      <c r="X49" s="31"/>
      <c r="Y49" s="31"/>
      <c r="Z49" s="31"/>
      <c r="AA49" s="31"/>
      <c r="AB49" s="31"/>
    </row>
    <row r="50" spans="1:46" ht="15" thickBot="1">
      <c r="A50" s="20">
        <v>12</v>
      </c>
      <c r="B50" s="20" t="s">
        <v>71</v>
      </c>
      <c r="C50" s="21" t="s">
        <v>96</v>
      </c>
      <c r="D50" s="20">
        <v>79220.009999999995</v>
      </c>
      <c r="F50" s="47" t="s">
        <v>59</v>
      </c>
      <c r="G50" s="45">
        <v>451500</v>
      </c>
      <c r="H50" s="46">
        <v>435219</v>
      </c>
      <c r="I50" s="46">
        <v>237511</v>
      </c>
      <c r="J50" s="46">
        <v>131274</v>
      </c>
      <c r="K50" s="46">
        <v>102188</v>
      </c>
      <c r="L50" s="46">
        <v>21027</v>
      </c>
      <c r="M50" s="46">
        <v>10500</v>
      </c>
      <c r="N50" s="46">
        <v>8435</v>
      </c>
      <c r="O50" s="46">
        <v>21800</v>
      </c>
      <c r="P50" s="46">
        <v>0</v>
      </c>
      <c r="Q50" s="46">
        <v>0</v>
      </c>
      <c r="R50" s="46">
        <v>0</v>
      </c>
      <c r="S50" s="46">
        <v>291564</v>
      </c>
      <c r="T50" s="46">
        <v>79220</v>
      </c>
      <c r="U50" s="46">
        <v>26500</v>
      </c>
      <c r="V50" s="46">
        <v>27096</v>
      </c>
      <c r="W50" s="17"/>
      <c r="X50" s="17"/>
      <c r="Y50" s="17"/>
      <c r="Z50" s="17"/>
      <c r="AA50" s="17"/>
      <c r="AB50" s="17"/>
      <c r="AC50" s="17"/>
    </row>
    <row r="51" spans="1:46" ht="43.8" thickBot="1">
      <c r="A51" s="20">
        <v>13</v>
      </c>
      <c r="B51" s="20" t="s">
        <v>71</v>
      </c>
      <c r="C51" s="21" t="s">
        <v>97</v>
      </c>
      <c r="D51" s="20">
        <v>291564</v>
      </c>
      <c r="F51" s="38" t="s">
        <v>81</v>
      </c>
      <c r="G51" s="35">
        <f>SUM(G46:V46)</f>
        <v>1878336.6199999999</v>
      </c>
      <c r="I51" s="39" t="s">
        <v>33</v>
      </c>
      <c r="J51" s="13">
        <f>SUM(G45:V45)-AE49</f>
        <v>1847331.9</v>
      </c>
      <c r="L51" s="63" t="s">
        <v>77</v>
      </c>
      <c r="M51" s="64">
        <f>(G51-J51)</f>
        <v>31004.719999999972</v>
      </c>
      <c r="O51" s="40" t="s">
        <v>83</v>
      </c>
      <c r="P51" s="44">
        <f>SUM(G50:V50)</f>
        <v>1843834</v>
      </c>
      <c r="Q51" s="17"/>
      <c r="R51" s="48" t="s">
        <v>82</v>
      </c>
      <c r="S51" s="49">
        <f>SUM(X45:Z45)</f>
        <v>22000</v>
      </c>
      <c r="T51" s="32"/>
      <c r="U51" s="17"/>
      <c r="V51" s="17"/>
    </row>
    <row r="52" spans="1:46">
      <c r="A52" s="20">
        <v>14</v>
      </c>
      <c r="B52" s="20" t="s">
        <v>71</v>
      </c>
      <c r="C52" s="21" t="s">
        <v>74</v>
      </c>
      <c r="D52" s="20">
        <v>27096</v>
      </c>
    </row>
    <row r="53" spans="1:46">
      <c r="A53" s="20">
        <v>15</v>
      </c>
      <c r="B53" s="20" t="s">
        <v>71</v>
      </c>
      <c r="C53" s="21" t="s">
        <v>75</v>
      </c>
      <c r="D53" s="20">
        <v>26500</v>
      </c>
    </row>
    <row r="54" spans="1:46" ht="18.600000000000001" thickBot="1">
      <c r="A54" s="120" t="s">
        <v>76</v>
      </c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7"/>
      <c r="V54" s="7"/>
      <c r="W54" s="7"/>
      <c r="X54" s="78"/>
      <c r="Y54" s="78"/>
      <c r="Z54" s="79"/>
      <c r="AE54" s="117" t="s">
        <v>80</v>
      </c>
      <c r="AF54" s="118"/>
      <c r="AG54" s="118"/>
      <c r="AH54" s="118"/>
      <c r="AI54" s="118"/>
      <c r="AJ54" s="118"/>
      <c r="AK54" s="118"/>
      <c r="AL54" s="118"/>
      <c r="AM54" s="118"/>
      <c r="AN54" s="118"/>
      <c r="AO54" s="118"/>
      <c r="AP54" s="118"/>
      <c r="AQ54" s="118"/>
      <c r="AR54" s="118"/>
      <c r="AS54" s="118"/>
    </row>
    <row r="55" spans="1:46" ht="15" thickBot="1">
      <c r="A55" s="8" t="s">
        <v>2</v>
      </c>
      <c r="B55" s="8" t="s">
        <v>3</v>
      </c>
      <c r="C55" s="8" t="s">
        <v>4</v>
      </c>
      <c r="D55" s="8" t="s">
        <v>5</v>
      </c>
      <c r="F55" s="4" t="s">
        <v>6</v>
      </c>
      <c r="G55" s="4" t="s">
        <v>7</v>
      </c>
      <c r="H55" s="4" t="s">
        <v>8</v>
      </c>
      <c r="I55" s="5" t="s">
        <v>9</v>
      </c>
      <c r="J55" s="5" t="s">
        <v>10</v>
      </c>
      <c r="K55" s="5" t="s">
        <v>11</v>
      </c>
      <c r="L55" s="5" t="s">
        <v>12</v>
      </c>
      <c r="M55" s="5" t="s">
        <v>13</v>
      </c>
      <c r="N55" s="5" t="s">
        <v>14</v>
      </c>
      <c r="O55" s="5" t="s">
        <v>15</v>
      </c>
      <c r="P55" s="5" t="s">
        <v>16</v>
      </c>
      <c r="Q55" s="5" t="s">
        <v>17</v>
      </c>
      <c r="R55" s="5" t="s">
        <v>18</v>
      </c>
      <c r="S55" s="5" t="s">
        <v>19</v>
      </c>
      <c r="T55" s="5" t="s">
        <v>20</v>
      </c>
      <c r="U55" s="5" t="s">
        <v>21</v>
      </c>
      <c r="V55" s="5" t="s">
        <v>22</v>
      </c>
      <c r="W55" s="70" t="s">
        <v>24</v>
      </c>
      <c r="X55" s="48" t="s">
        <v>23</v>
      </c>
      <c r="Y55" s="86" t="s">
        <v>105</v>
      </c>
      <c r="Z55" s="68" t="s">
        <v>70</v>
      </c>
      <c r="AE55" s="100" t="s">
        <v>124</v>
      </c>
      <c r="AF55" s="91" t="s">
        <v>7</v>
      </c>
      <c r="AG55" s="91" t="s">
        <v>9</v>
      </c>
      <c r="AH55" s="91" t="s">
        <v>11</v>
      </c>
      <c r="AI55" s="91" t="s">
        <v>15</v>
      </c>
      <c r="AJ55" s="91" t="s">
        <v>17</v>
      </c>
      <c r="AK55" s="91" t="s">
        <v>19</v>
      </c>
      <c r="AL55" s="91" t="s">
        <v>20</v>
      </c>
      <c r="AM55" s="91" t="s">
        <v>21</v>
      </c>
      <c r="AN55" s="91" t="s">
        <v>22</v>
      </c>
      <c r="AO55" s="91" t="s">
        <v>8</v>
      </c>
      <c r="AP55" s="91" t="s">
        <v>10</v>
      </c>
      <c r="AQ55" s="91" t="s">
        <v>125</v>
      </c>
      <c r="AR55" s="91" t="s">
        <v>16</v>
      </c>
      <c r="AS55" s="91" t="s">
        <v>18</v>
      </c>
    </row>
    <row r="56" spans="1:46">
      <c r="A56" s="22">
        <v>1</v>
      </c>
      <c r="B56" s="23">
        <v>46022</v>
      </c>
      <c r="C56" s="24" t="s">
        <v>26</v>
      </c>
      <c r="D56" s="22">
        <v>113991</v>
      </c>
      <c r="F56" s="11" t="s">
        <v>27</v>
      </c>
      <c r="G56" s="11">
        <v>162969</v>
      </c>
      <c r="H56" s="12">
        <v>20304.48</v>
      </c>
      <c r="I56" s="11">
        <v>162188</v>
      </c>
      <c r="J56" s="12">
        <v>17404.13</v>
      </c>
      <c r="K56" s="11">
        <v>165428</v>
      </c>
      <c r="L56" s="11">
        <f>SUM(M56:N56)</f>
        <v>17403.68</v>
      </c>
      <c r="M56" s="11">
        <v>14503</v>
      </c>
      <c r="N56" s="12">
        <v>2900.68</v>
      </c>
      <c r="O56" s="11">
        <v>150266</v>
      </c>
      <c r="P56" s="11">
        <v>17165</v>
      </c>
      <c r="Q56" s="11">
        <v>10786</v>
      </c>
      <c r="R56" s="11">
        <v>23205</v>
      </c>
      <c r="S56" s="11">
        <v>174773.29</v>
      </c>
      <c r="T56" s="11">
        <v>174773.29</v>
      </c>
      <c r="U56" s="11">
        <v>7525</v>
      </c>
      <c r="V56" s="11">
        <v>86900.63</v>
      </c>
      <c r="W56" s="72">
        <v>40610</v>
      </c>
      <c r="X56" s="74"/>
      <c r="Y56" s="87">
        <v>2800</v>
      </c>
      <c r="Z56" s="75">
        <v>5600</v>
      </c>
      <c r="AD56" s="33" t="s">
        <v>78</v>
      </c>
      <c r="AE56" s="50" t="s">
        <v>88</v>
      </c>
      <c r="AF56" s="90"/>
      <c r="AG56" s="90">
        <v>3239</v>
      </c>
      <c r="AH56" s="90"/>
      <c r="AI56" s="90">
        <v>3645</v>
      </c>
      <c r="AJ56" s="90">
        <v>4075</v>
      </c>
      <c r="AK56" s="90"/>
      <c r="AL56" s="90"/>
      <c r="AM56" s="90">
        <v>1000</v>
      </c>
      <c r="AN56" s="90"/>
      <c r="AO56" s="90"/>
      <c r="AP56" s="90"/>
      <c r="AQ56" s="90"/>
      <c r="AR56" s="90"/>
      <c r="AS56" s="90"/>
      <c r="AT56" s="102" t="s">
        <v>126</v>
      </c>
    </row>
    <row r="57" spans="1:46" ht="15" thickBot="1">
      <c r="A57" s="22">
        <v>2</v>
      </c>
      <c r="B57" s="23">
        <v>46022</v>
      </c>
      <c r="C57" s="24" t="s">
        <v>28</v>
      </c>
      <c r="D57" s="22">
        <v>440162</v>
      </c>
      <c r="F57" s="11" t="s">
        <v>27</v>
      </c>
      <c r="G57" s="11">
        <v>50725</v>
      </c>
      <c r="H57" s="12">
        <v>2831</v>
      </c>
      <c r="I57" s="11">
        <v>39568</v>
      </c>
      <c r="J57" s="12">
        <v>2427</v>
      </c>
      <c r="K57" s="11">
        <v>39567.79</v>
      </c>
      <c r="L57" s="11">
        <f>SUM(M57:N57)</f>
        <v>25405</v>
      </c>
      <c r="M57" s="11">
        <v>25000</v>
      </c>
      <c r="N57" s="12">
        <v>405</v>
      </c>
      <c r="O57" s="11">
        <v>39568</v>
      </c>
      <c r="P57" s="11">
        <v>2427</v>
      </c>
      <c r="Q57" s="11">
        <v>233955</v>
      </c>
      <c r="R57" s="11"/>
      <c r="S57" s="11">
        <v>41198.54</v>
      </c>
      <c r="T57" s="11">
        <v>42394</v>
      </c>
      <c r="U57" s="11">
        <v>176722.71</v>
      </c>
      <c r="V57" s="11">
        <v>5220.59</v>
      </c>
      <c r="W57" s="72">
        <v>5663</v>
      </c>
      <c r="X57" s="74"/>
      <c r="Y57" s="87"/>
      <c r="Z57" s="75"/>
      <c r="AD57" s="34" t="s">
        <v>79</v>
      </c>
      <c r="AE57" s="50" t="s">
        <v>87</v>
      </c>
      <c r="AF57" s="90"/>
      <c r="AG57" s="90"/>
      <c r="AH57" s="90"/>
      <c r="AI57" s="90"/>
      <c r="AJ57" s="90">
        <v>2000</v>
      </c>
      <c r="AK57" s="90"/>
      <c r="AL57" s="90"/>
      <c r="AM57" s="90"/>
      <c r="AN57" s="90"/>
      <c r="AO57" s="90"/>
      <c r="AP57" s="90"/>
      <c r="AQ57" s="90"/>
      <c r="AR57" s="90"/>
      <c r="AS57" s="90"/>
      <c r="AT57" s="101">
        <v>2500</v>
      </c>
    </row>
    <row r="58" spans="1:46">
      <c r="A58" s="22">
        <v>3</v>
      </c>
      <c r="B58" s="23">
        <v>46022</v>
      </c>
      <c r="C58" s="24" t="s">
        <v>29</v>
      </c>
      <c r="D58" s="22">
        <v>510749.98</v>
      </c>
      <c r="F58" s="11" t="s">
        <v>27</v>
      </c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>
        <v>60765</v>
      </c>
      <c r="R58" s="11"/>
      <c r="S58" s="11"/>
      <c r="T58" s="11"/>
      <c r="U58" s="11">
        <v>42394</v>
      </c>
      <c r="V58" s="11">
        <v>11123</v>
      </c>
      <c r="W58" s="85"/>
      <c r="X58" s="74"/>
      <c r="Y58" s="87"/>
      <c r="Z58" s="75"/>
      <c r="AE58" s="50" t="s">
        <v>116</v>
      </c>
      <c r="AF58" s="90"/>
      <c r="AG58" s="90"/>
      <c r="AH58" s="90"/>
      <c r="AI58" s="90"/>
      <c r="AJ58" s="90"/>
      <c r="AK58" s="90"/>
      <c r="AL58" s="90"/>
      <c r="AM58" s="90"/>
      <c r="AN58" s="90"/>
      <c r="AO58" s="90"/>
      <c r="AP58" s="90"/>
      <c r="AQ58" s="90"/>
      <c r="AR58" s="90"/>
      <c r="AS58" s="90"/>
    </row>
    <row r="59" spans="1:46" ht="15" thickBot="1">
      <c r="A59" s="22">
        <v>4</v>
      </c>
      <c r="B59" s="23">
        <v>46022</v>
      </c>
      <c r="C59" s="24" t="s">
        <v>30</v>
      </c>
      <c r="D59" s="22">
        <v>7734.99</v>
      </c>
      <c r="F59" s="11" t="s">
        <v>27</v>
      </c>
      <c r="G59" s="2"/>
      <c r="H59" s="2"/>
      <c r="I59" s="11"/>
      <c r="J59" s="2"/>
      <c r="K59" s="2"/>
      <c r="L59" s="2"/>
      <c r="M59" s="2"/>
      <c r="N59" s="2"/>
      <c r="O59" s="11"/>
      <c r="P59" s="2"/>
      <c r="Q59" s="2"/>
      <c r="R59" s="2"/>
      <c r="S59" s="2"/>
      <c r="T59" s="11"/>
      <c r="U59" s="2"/>
      <c r="V59" s="2"/>
      <c r="W59" s="85"/>
      <c r="X59" s="74"/>
      <c r="Y59" s="87"/>
      <c r="Z59" s="75"/>
      <c r="AE59" s="99" t="s">
        <v>117</v>
      </c>
      <c r="AF59" s="92"/>
      <c r="AG59" s="92"/>
      <c r="AH59" s="92"/>
      <c r="AI59" s="92"/>
      <c r="AJ59" s="90"/>
      <c r="AK59" s="90"/>
      <c r="AL59" s="90"/>
      <c r="AM59" s="90"/>
      <c r="AN59" s="90"/>
      <c r="AO59" s="90"/>
      <c r="AP59" s="90"/>
      <c r="AQ59" s="90"/>
      <c r="AR59" s="90"/>
      <c r="AS59" s="90"/>
    </row>
    <row r="60" spans="1:46" ht="15" thickBot="1">
      <c r="A60" s="22">
        <v>5</v>
      </c>
      <c r="B60" s="23">
        <v>46022</v>
      </c>
      <c r="C60" s="24" t="s">
        <v>31</v>
      </c>
      <c r="D60" s="22">
        <v>21800</v>
      </c>
      <c r="F60" s="11" t="s">
        <v>27</v>
      </c>
      <c r="G60" s="2"/>
      <c r="H60" s="2"/>
      <c r="I60" s="11"/>
      <c r="J60" s="2"/>
      <c r="K60" s="2"/>
      <c r="L60" s="2"/>
      <c r="M60" s="2"/>
      <c r="N60" s="2"/>
      <c r="O60" s="11"/>
      <c r="P60" s="2"/>
      <c r="Q60" s="2"/>
      <c r="R60" s="2"/>
      <c r="S60" s="2"/>
      <c r="T60" s="11"/>
      <c r="U60" s="2"/>
      <c r="V60" s="2"/>
      <c r="W60" s="85"/>
      <c r="X60" s="74"/>
      <c r="Y60" s="87"/>
      <c r="Z60" s="75"/>
      <c r="AD60" s="93" t="s">
        <v>89</v>
      </c>
      <c r="AE60" s="94">
        <f>SUM(AF60:AS60)</f>
        <v>13959</v>
      </c>
      <c r="AF60" s="95">
        <f t="shared" ref="AF60:AG60" si="32">SUM(AF56:AF59)</f>
        <v>0</v>
      </c>
      <c r="AG60" s="95">
        <f t="shared" si="32"/>
        <v>3239</v>
      </c>
      <c r="AH60" s="95">
        <f>SUM(AH56:AH59)</f>
        <v>0</v>
      </c>
      <c r="AI60" s="95">
        <f t="shared" ref="AI60:AS60" si="33">SUM(AI56:AI59)</f>
        <v>3645</v>
      </c>
      <c r="AJ60" s="95">
        <f t="shared" si="33"/>
        <v>6075</v>
      </c>
      <c r="AK60" s="95">
        <f t="shared" si="33"/>
        <v>0</v>
      </c>
      <c r="AL60" s="95">
        <f t="shared" si="33"/>
        <v>0</v>
      </c>
      <c r="AM60" s="95">
        <f t="shared" si="33"/>
        <v>1000</v>
      </c>
      <c r="AN60" s="95">
        <f t="shared" si="33"/>
        <v>0</v>
      </c>
      <c r="AO60" s="95">
        <f t="shared" si="33"/>
        <v>0</v>
      </c>
      <c r="AP60" s="95">
        <f t="shared" si="33"/>
        <v>0</v>
      </c>
      <c r="AQ60" s="95">
        <f t="shared" si="33"/>
        <v>0</v>
      </c>
      <c r="AR60" s="95">
        <f t="shared" si="33"/>
        <v>0</v>
      </c>
      <c r="AS60" s="95">
        <f t="shared" si="33"/>
        <v>0</v>
      </c>
    </row>
    <row r="61" spans="1:46" ht="15" thickBot="1">
      <c r="A61" s="22">
        <v>6</v>
      </c>
      <c r="B61" s="23">
        <v>46022</v>
      </c>
      <c r="C61" s="24" t="s">
        <v>32</v>
      </c>
      <c r="D61" s="22">
        <v>10499.99</v>
      </c>
      <c r="F61" s="11" t="s">
        <v>27</v>
      </c>
      <c r="G61" s="2"/>
      <c r="H61" s="2"/>
      <c r="I61" s="11"/>
      <c r="J61" s="2"/>
      <c r="K61" s="2"/>
      <c r="L61" s="2"/>
      <c r="M61" s="2"/>
      <c r="N61" s="2"/>
      <c r="O61" s="11"/>
      <c r="P61" s="2"/>
      <c r="Q61" s="2"/>
      <c r="R61" s="2"/>
      <c r="S61" s="2"/>
      <c r="T61" s="11"/>
      <c r="U61" s="2"/>
      <c r="V61" s="2"/>
      <c r="W61" s="85"/>
      <c r="X61" s="74"/>
      <c r="Y61" s="87"/>
      <c r="Z61" s="75"/>
    </row>
    <row r="62" spans="1:46" ht="29.4" thickBot="1">
      <c r="A62" s="22">
        <v>7</v>
      </c>
      <c r="B62" s="23">
        <v>46022</v>
      </c>
      <c r="C62" s="24" t="s">
        <v>34</v>
      </c>
      <c r="D62" s="22">
        <v>102187.99</v>
      </c>
      <c r="F62" s="37" t="s">
        <v>33</v>
      </c>
      <c r="G62" s="3">
        <f>SUM(G56:G61)</f>
        <v>213694</v>
      </c>
      <c r="H62" s="3">
        <f t="shared" ref="H62:V62" si="34">SUM(H56:H61)</f>
        <v>23135.48</v>
      </c>
      <c r="I62" s="3">
        <f t="shared" si="34"/>
        <v>201756</v>
      </c>
      <c r="J62" s="3">
        <f t="shared" si="34"/>
        <v>19831.13</v>
      </c>
      <c r="K62" s="3">
        <f t="shared" si="34"/>
        <v>204995.79</v>
      </c>
      <c r="L62" s="3">
        <f>SUM(L56:L61)</f>
        <v>42808.68</v>
      </c>
      <c r="M62" s="3"/>
      <c r="N62" s="3"/>
      <c r="O62" s="3">
        <f t="shared" si="34"/>
        <v>189834</v>
      </c>
      <c r="P62" s="3">
        <f t="shared" si="34"/>
        <v>19592</v>
      </c>
      <c r="Q62" s="3">
        <f t="shared" si="34"/>
        <v>305506</v>
      </c>
      <c r="R62" s="3">
        <f t="shared" si="34"/>
        <v>23205</v>
      </c>
      <c r="S62" s="3">
        <f t="shared" si="34"/>
        <v>215971.83000000002</v>
      </c>
      <c r="T62" s="3">
        <f t="shared" si="34"/>
        <v>217167.29</v>
      </c>
      <c r="U62" s="3">
        <f t="shared" si="34"/>
        <v>226641.71</v>
      </c>
      <c r="V62" s="3">
        <f t="shared" si="34"/>
        <v>103244.22</v>
      </c>
      <c r="W62" s="73">
        <f>SUM(W56:W61)</f>
        <v>46273</v>
      </c>
      <c r="X62" s="52">
        <f>SUM(X56:X61)</f>
        <v>0</v>
      </c>
      <c r="Y62" s="52">
        <f>SUM(Y56:Y61)</f>
        <v>2800</v>
      </c>
      <c r="Z62" s="76">
        <f>SUM(Z56:Z61)</f>
        <v>5600</v>
      </c>
    </row>
    <row r="63" spans="1:46" ht="28.8">
      <c r="A63" s="22">
        <v>8</v>
      </c>
      <c r="B63" s="23">
        <v>46022</v>
      </c>
      <c r="C63" s="24" t="s">
        <v>85</v>
      </c>
      <c r="D63" s="22">
        <v>259463</v>
      </c>
      <c r="F63" s="41" t="s">
        <v>35</v>
      </c>
      <c r="G63" s="36">
        <v>213694.67</v>
      </c>
      <c r="H63" s="36">
        <v>22856</v>
      </c>
      <c r="I63" s="36">
        <v>204995.79</v>
      </c>
      <c r="J63" s="36">
        <v>19592</v>
      </c>
      <c r="K63" s="36">
        <v>204995.79</v>
      </c>
      <c r="L63" s="36">
        <v>19592</v>
      </c>
      <c r="M63" s="36"/>
      <c r="N63" s="36"/>
      <c r="O63" s="36">
        <v>193479.79</v>
      </c>
      <c r="P63" s="36">
        <v>19592</v>
      </c>
      <c r="Q63" s="36">
        <v>311580.52</v>
      </c>
      <c r="R63" s="36">
        <v>26122</v>
      </c>
      <c r="S63" s="36">
        <v>215971.83</v>
      </c>
      <c r="T63" s="36">
        <v>215971.83</v>
      </c>
      <c r="U63" s="36">
        <v>227641.71</v>
      </c>
      <c r="V63" s="36">
        <v>103244.22</v>
      </c>
      <c r="W63" s="17"/>
      <c r="X63" s="17"/>
      <c r="Y63" s="17"/>
      <c r="Z63" s="17"/>
      <c r="AA63" s="17"/>
      <c r="AB63" s="17"/>
      <c r="AC63" s="17"/>
    </row>
    <row r="64" spans="1:46">
      <c r="A64" s="22">
        <v>9</v>
      </c>
      <c r="B64" s="23">
        <v>46022</v>
      </c>
      <c r="C64" s="24" t="s">
        <v>37</v>
      </c>
      <c r="D64" s="22">
        <v>34651.97</v>
      </c>
      <c r="F64" s="43" t="s">
        <v>84</v>
      </c>
      <c r="G64" s="51">
        <f>(G63-G62)</f>
        <v>0.67000000001280569</v>
      </c>
      <c r="H64" s="51">
        <f t="shared" ref="H64" si="35">(H63-H62)</f>
        <v>-279.47999999999956</v>
      </c>
      <c r="I64" s="51">
        <f t="shared" ref="I64" si="36">(I63-I62)</f>
        <v>3239.7900000000081</v>
      </c>
      <c r="J64" s="51">
        <f t="shared" ref="J64" si="37">(J63-J62)</f>
        <v>-239.13000000000102</v>
      </c>
      <c r="K64" s="51">
        <f t="shared" ref="K64" si="38">(K63-K62)</f>
        <v>0</v>
      </c>
      <c r="L64" s="51">
        <f t="shared" ref="L64" si="39">(L63-L62)</f>
        <v>-23216.68</v>
      </c>
      <c r="M64" s="51"/>
      <c r="N64" s="51"/>
      <c r="O64" s="51">
        <f t="shared" ref="O64" si="40">(O63-O62)</f>
        <v>3645.7900000000081</v>
      </c>
      <c r="P64" s="51">
        <f t="shared" ref="P64" si="41">(P63-P62)</f>
        <v>0</v>
      </c>
      <c r="Q64" s="51">
        <f t="shared" ref="Q64" si="42">(Q63-Q62)</f>
        <v>6074.5200000000186</v>
      </c>
      <c r="R64" s="51">
        <f>(R63-R62)</f>
        <v>2917</v>
      </c>
      <c r="S64" s="51">
        <f t="shared" ref="S64" si="43">(S63-S62)</f>
        <v>-2.9103830456733704E-11</v>
      </c>
      <c r="T64" s="51">
        <f t="shared" ref="T64" si="44">(T63-T62)</f>
        <v>-1195.460000000021</v>
      </c>
      <c r="U64" s="51">
        <f t="shared" ref="U64" si="45">(U63-U62)</f>
        <v>1000</v>
      </c>
      <c r="V64" s="51">
        <f>(V63-V62)</f>
        <v>0</v>
      </c>
      <c r="W64" s="28"/>
      <c r="X64" s="28"/>
      <c r="Y64" s="28"/>
      <c r="Z64" s="28"/>
      <c r="AA64" s="28"/>
      <c r="AB64" s="28"/>
      <c r="AC64" s="28"/>
    </row>
    <row r="65" spans="1:45" ht="28.8">
      <c r="A65" s="22">
        <v>10</v>
      </c>
      <c r="B65" s="23">
        <v>46022</v>
      </c>
      <c r="C65" s="24" t="s">
        <v>57</v>
      </c>
      <c r="D65" s="22">
        <v>0</v>
      </c>
      <c r="F65" s="4" t="s">
        <v>4</v>
      </c>
      <c r="G65" s="4" t="s">
        <v>38</v>
      </c>
      <c r="H65" s="5" t="s">
        <v>39</v>
      </c>
      <c r="I65" s="5" t="s">
        <v>86</v>
      </c>
      <c r="J65" s="5" t="s">
        <v>41</v>
      </c>
      <c r="K65" s="5" t="s">
        <v>42</v>
      </c>
      <c r="L65" s="26" t="s">
        <v>43</v>
      </c>
      <c r="M65" s="5" t="s">
        <v>44</v>
      </c>
      <c r="N65" s="26" t="s">
        <v>45</v>
      </c>
      <c r="O65" s="26" t="s">
        <v>46</v>
      </c>
      <c r="P65" s="26" t="s">
        <v>47</v>
      </c>
      <c r="Q65" s="26" t="s">
        <v>48</v>
      </c>
      <c r="R65" s="26" t="s">
        <v>49</v>
      </c>
      <c r="S65" s="27" t="s">
        <v>50</v>
      </c>
      <c r="T65" s="29" t="s">
        <v>51</v>
      </c>
      <c r="U65" s="30"/>
      <c r="V65" s="30"/>
      <c r="W65" s="30"/>
      <c r="X65" s="30"/>
      <c r="Y65" s="30"/>
      <c r="Z65" s="30"/>
      <c r="AA65" s="30"/>
      <c r="AB65" s="30"/>
      <c r="AC65" s="30"/>
    </row>
    <row r="66" spans="1:45">
      <c r="A66" s="22">
        <v>11</v>
      </c>
      <c r="B66" s="23">
        <v>46022</v>
      </c>
      <c r="C66" s="24" t="s">
        <v>60</v>
      </c>
      <c r="D66" s="22">
        <v>35309.99</v>
      </c>
      <c r="F66" s="11" t="s">
        <v>3</v>
      </c>
      <c r="G66" s="16">
        <v>46037</v>
      </c>
      <c r="H66" s="16">
        <v>46037</v>
      </c>
      <c r="I66" s="16">
        <v>46037</v>
      </c>
      <c r="J66" s="16">
        <v>46037</v>
      </c>
      <c r="K66" s="16">
        <v>46037</v>
      </c>
      <c r="L66" s="16">
        <v>46037</v>
      </c>
      <c r="M66" s="16">
        <v>46037</v>
      </c>
      <c r="N66" s="16">
        <v>46037</v>
      </c>
      <c r="O66" s="16">
        <v>46037</v>
      </c>
      <c r="P66" s="16">
        <v>46037</v>
      </c>
      <c r="Q66" s="16">
        <v>46037</v>
      </c>
      <c r="R66" s="16">
        <v>46037</v>
      </c>
      <c r="S66" s="16">
        <v>46037</v>
      </c>
      <c r="T66" s="16">
        <v>46037</v>
      </c>
      <c r="U66" s="30"/>
      <c r="V66" s="30"/>
      <c r="W66" s="31"/>
      <c r="X66" s="31"/>
      <c r="Y66" s="31"/>
      <c r="Z66" s="31"/>
      <c r="AA66" s="31"/>
      <c r="AB66" s="31"/>
      <c r="AC66" s="31"/>
    </row>
    <row r="67" spans="1:45" ht="15" thickBot="1">
      <c r="A67" s="22">
        <v>12</v>
      </c>
      <c r="B67" s="23">
        <v>46022</v>
      </c>
      <c r="C67" s="24" t="s">
        <v>98</v>
      </c>
      <c r="D67" s="22">
        <v>76630</v>
      </c>
      <c r="F67" s="46" t="s">
        <v>59</v>
      </c>
      <c r="G67" s="46">
        <v>510749.98</v>
      </c>
      <c r="H67" s="46">
        <v>440162</v>
      </c>
      <c r="I67" s="46">
        <v>259463</v>
      </c>
      <c r="J67" s="46">
        <v>113991</v>
      </c>
      <c r="K67" s="46">
        <v>102187.99</v>
      </c>
      <c r="L67" s="46">
        <v>34651.97</v>
      </c>
      <c r="M67" s="46">
        <v>10499.99</v>
      </c>
      <c r="N67" s="46">
        <v>7734.99</v>
      </c>
      <c r="O67" s="46">
        <v>21800</v>
      </c>
      <c r="P67" s="46">
        <v>0</v>
      </c>
      <c r="Q67" s="46">
        <v>0</v>
      </c>
      <c r="R67" s="46">
        <v>35309.99</v>
      </c>
      <c r="S67" s="46">
        <v>370690</v>
      </c>
      <c r="T67" s="46">
        <v>76630</v>
      </c>
      <c r="U67" s="30"/>
      <c r="V67" s="30"/>
      <c r="W67" s="17"/>
      <c r="X67" s="17"/>
      <c r="Y67" s="17"/>
      <c r="Z67" s="17"/>
      <c r="AA67" s="17"/>
      <c r="AB67" s="17"/>
      <c r="AC67" s="17"/>
    </row>
    <row r="68" spans="1:45" ht="43.8" thickBot="1">
      <c r="A68" s="22">
        <v>13</v>
      </c>
      <c r="B68" s="23">
        <v>46022</v>
      </c>
      <c r="C68" s="24" t="s">
        <v>99</v>
      </c>
      <c r="D68" s="22">
        <v>370690</v>
      </c>
      <c r="F68" s="53" t="s">
        <v>81</v>
      </c>
      <c r="G68" s="54">
        <f>SUM(G63:V63)</f>
        <v>1999330.1500000001</v>
      </c>
      <c r="I68" s="55" t="s">
        <v>33</v>
      </c>
      <c r="J68" s="56">
        <f>SUM(G62:V62)-AE66</f>
        <v>2007383.1300000001</v>
      </c>
      <c r="L68" s="63" t="s">
        <v>77</v>
      </c>
      <c r="M68" s="64">
        <f>(G68-J68)</f>
        <v>-8052.9799999999814</v>
      </c>
      <c r="O68" s="57" t="s">
        <v>92</v>
      </c>
      <c r="P68" s="58">
        <f>SUM(G67:T67)</f>
        <v>1983870.91</v>
      </c>
      <c r="Q68" s="17"/>
      <c r="R68" s="59" t="s">
        <v>82</v>
      </c>
      <c r="S68" s="60">
        <f>SUM(X62:Z62)</f>
        <v>8400</v>
      </c>
      <c r="T68" s="32"/>
      <c r="U68" s="17"/>
      <c r="V68" s="17"/>
    </row>
    <row r="69" spans="1:45" ht="18.600000000000001" thickBot="1">
      <c r="A69" s="120" t="s">
        <v>101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7"/>
      <c r="V69" s="7"/>
      <c r="W69" s="7"/>
      <c r="X69" s="7"/>
      <c r="Y69" s="7"/>
      <c r="Z69" s="7"/>
      <c r="AA69" s="115"/>
      <c r="AB69" s="116"/>
      <c r="AC69" s="97"/>
      <c r="AE69" s="117" t="s">
        <v>80</v>
      </c>
      <c r="AF69" s="118"/>
      <c r="AG69" s="118"/>
      <c r="AH69" s="118"/>
      <c r="AI69" s="118"/>
      <c r="AJ69" s="118"/>
      <c r="AK69" s="118"/>
      <c r="AL69" s="118"/>
      <c r="AM69" s="118"/>
      <c r="AN69" s="118"/>
      <c r="AO69" s="118"/>
      <c r="AP69" s="118"/>
      <c r="AQ69" s="118"/>
      <c r="AR69" s="118"/>
      <c r="AS69" s="118"/>
    </row>
    <row r="70" spans="1:45" ht="43.8" thickBot="1">
      <c r="A70" s="8" t="s">
        <v>2</v>
      </c>
      <c r="B70" s="8" t="s">
        <v>3</v>
      </c>
      <c r="C70" s="8" t="s">
        <v>4</v>
      </c>
      <c r="D70" s="8" t="s">
        <v>5</v>
      </c>
      <c r="F70" s="4" t="s">
        <v>6</v>
      </c>
      <c r="G70" s="4" t="s">
        <v>7</v>
      </c>
      <c r="H70" s="4" t="s">
        <v>8</v>
      </c>
      <c r="I70" s="5" t="s">
        <v>9</v>
      </c>
      <c r="J70" s="5" t="s">
        <v>10</v>
      </c>
      <c r="K70" s="5" t="s">
        <v>11</v>
      </c>
      <c r="L70" s="5" t="s">
        <v>12</v>
      </c>
      <c r="M70" s="5" t="s">
        <v>13</v>
      </c>
      <c r="N70" s="5" t="s">
        <v>14</v>
      </c>
      <c r="O70" s="5" t="s">
        <v>15</v>
      </c>
      <c r="P70" s="5" t="s">
        <v>16</v>
      </c>
      <c r="Q70" s="5" t="s">
        <v>17</v>
      </c>
      <c r="R70" s="5" t="s">
        <v>18</v>
      </c>
      <c r="S70" s="5" t="s">
        <v>19</v>
      </c>
      <c r="T70" s="5" t="s">
        <v>20</v>
      </c>
      <c r="U70" s="5" t="s">
        <v>21</v>
      </c>
      <c r="V70" s="5" t="s">
        <v>22</v>
      </c>
      <c r="W70" s="70" t="s">
        <v>24</v>
      </c>
      <c r="X70" s="48" t="s">
        <v>23</v>
      </c>
      <c r="Y70" s="86" t="s">
        <v>105</v>
      </c>
      <c r="Z70" s="48" t="s">
        <v>70</v>
      </c>
      <c r="AA70" s="68" t="s">
        <v>104</v>
      </c>
      <c r="AB70" s="68" t="s">
        <v>113</v>
      </c>
      <c r="AC70" s="68" t="s">
        <v>134</v>
      </c>
      <c r="AE70" s="100" t="s">
        <v>124</v>
      </c>
      <c r="AF70" s="91" t="s">
        <v>7</v>
      </c>
      <c r="AG70" s="91" t="s">
        <v>9</v>
      </c>
      <c r="AH70" s="91" t="s">
        <v>11</v>
      </c>
      <c r="AI70" s="91" t="s">
        <v>15</v>
      </c>
      <c r="AJ70" s="91" t="s">
        <v>17</v>
      </c>
      <c r="AK70" s="91" t="s">
        <v>19</v>
      </c>
      <c r="AL70" s="91" t="s">
        <v>20</v>
      </c>
      <c r="AM70" s="91" t="s">
        <v>21</v>
      </c>
      <c r="AN70" s="91" t="s">
        <v>22</v>
      </c>
      <c r="AO70" s="91" t="s">
        <v>8</v>
      </c>
      <c r="AP70" s="91" t="s">
        <v>10</v>
      </c>
      <c r="AQ70" s="91" t="s">
        <v>125</v>
      </c>
      <c r="AR70" s="91" t="s">
        <v>16</v>
      </c>
      <c r="AS70" s="91" t="s">
        <v>18</v>
      </c>
    </row>
    <row r="71" spans="1:45">
      <c r="A71" s="22">
        <v>1</v>
      </c>
      <c r="B71" s="23">
        <v>46053</v>
      </c>
      <c r="C71" s="24" t="s">
        <v>26</v>
      </c>
      <c r="D71" s="22">
        <v>128022</v>
      </c>
      <c r="F71" s="11" t="s">
        <v>27</v>
      </c>
      <c r="G71" s="11">
        <v>220448.31</v>
      </c>
      <c r="H71" s="12">
        <v>24038</v>
      </c>
      <c r="I71" s="11">
        <v>209316.24</v>
      </c>
      <c r="J71" s="12">
        <v>20604</v>
      </c>
      <c r="K71" s="11">
        <v>169110</v>
      </c>
      <c r="L71" s="11">
        <f>SUM(M71:N71)</f>
        <v>20604.330000000002</v>
      </c>
      <c r="M71" s="11">
        <v>17170.330000000002</v>
      </c>
      <c r="N71" s="12">
        <v>3434</v>
      </c>
      <c r="O71" s="11">
        <v>171117</v>
      </c>
      <c r="P71" s="11">
        <v>20604</v>
      </c>
      <c r="Q71" s="11">
        <v>256145</v>
      </c>
      <c r="R71" s="11">
        <v>27473</v>
      </c>
      <c r="S71" s="11">
        <v>176654.02</v>
      </c>
      <c r="T71" s="11">
        <v>219713</v>
      </c>
      <c r="U71" s="11">
        <v>233322.7</v>
      </c>
      <c r="V71" s="11">
        <v>91352.960000000006</v>
      </c>
      <c r="W71" s="72">
        <v>24038</v>
      </c>
      <c r="X71" s="74">
        <v>3000</v>
      </c>
      <c r="Y71" s="74">
        <v>6400</v>
      </c>
      <c r="Z71" s="11">
        <v>5000</v>
      </c>
      <c r="AA71" s="75">
        <v>1947</v>
      </c>
      <c r="AB71" s="75"/>
      <c r="AC71" s="75"/>
      <c r="AD71" s="33" t="s">
        <v>78</v>
      </c>
      <c r="AE71" s="50" t="s">
        <v>88</v>
      </c>
      <c r="AF71" s="90"/>
      <c r="AG71" s="90"/>
      <c r="AH71" s="90"/>
      <c r="AI71" s="90"/>
      <c r="AJ71" s="90"/>
      <c r="AK71" s="90"/>
      <c r="AL71" s="90"/>
      <c r="AM71" s="90"/>
      <c r="AN71" s="90"/>
      <c r="AO71" s="90"/>
      <c r="AP71" s="90"/>
      <c r="AQ71" s="90"/>
      <c r="AR71" s="90"/>
      <c r="AS71" s="90"/>
    </row>
    <row r="72" spans="1:45">
      <c r="A72" s="22">
        <v>2</v>
      </c>
      <c r="B72" s="23">
        <v>46053</v>
      </c>
      <c r="C72" s="24" t="s">
        <v>28</v>
      </c>
      <c r="D72" s="22">
        <v>434564</v>
      </c>
      <c r="F72" s="11" t="s">
        <v>27</v>
      </c>
      <c r="G72" s="11"/>
      <c r="H72" s="11"/>
      <c r="I72" s="11"/>
      <c r="J72" s="11"/>
      <c r="K72" s="11">
        <v>41211</v>
      </c>
      <c r="L72" s="11"/>
      <c r="M72" s="11"/>
      <c r="N72" s="11"/>
      <c r="O72" s="11">
        <v>24100</v>
      </c>
      <c r="P72" s="11"/>
      <c r="Q72" s="11">
        <v>63288</v>
      </c>
      <c r="R72" s="11"/>
      <c r="S72" s="11">
        <v>44155</v>
      </c>
      <c r="T72" s="11"/>
      <c r="U72" s="11"/>
      <c r="V72" s="11">
        <v>6202.13</v>
      </c>
      <c r="W72" s="72">
        <v>20604</v>
      </c>
      <c r="X72" s="74">
        <v>500</v>
      </c>
      <c r="Y72" s="89"/>
      <c r="Z72" s="11"/>
      <c r="AA72" s="75"/>
      <c r="AB72" s="75"/>
      <c r="AC72" s="75"/>
      <c r="AD72" s="34" t="s">
        <v>79</v>
      </c>
      <c r="AE72" s="50" t="s">
        <v>87</v>
      </c>
      <c r="AF72" s="90"/>
      <c r="AG72" s="90"/>
      <c r="AH72" s="90"/>
      <c r="AI72" s="90"/>
      <c r="AJ72" s="90"/>
      <c r="AK72" s="90"/>
      <c r="AL72" s="90"/>
      <c r="AM72" s="90"/>
      <c r="AN72" s="90"/>
      <c r="AO72" s="90"/>
      <c r="AP72" s="90"/>
      <c r="AQ72" s="90"/>
      <c r="AR72" s="90"/>
      <c r="AS72" s="90"/>
    </row>
    <row r="73" spans="1:45">
      <c r="A73" s="22">
        <v>3</v>
      </c>
      <c r="B73" s="23">
        <v>46053</v>
      </c>
      <c r="C73" s="24" t="s">
        <v>29</v>
      </c>
      <c r="D73" s="22">
        <v>561000</v>
      </c>
      <c r="F73" s="11" t="s">
        <v>27</v>
      </c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>
        <v>9809</v>
      </c>
      <c r="W73" s="72">
        <v>3434</v>
      </c>
      <c r="X73" s="74">
        <v>7000</v>
      </c>
      <c r="Y73" s="89"/>
      <c r="Z73" s="11"/>
      <c r="AA73" s="75"/>
      <c r="AB73" s="75"/>
      <c r="AC73" s="75"/>
      <c r="AE73" s="50" t="s">
        <v>116</v>
      </c>
      <c r="AF73" s="90"/>
      <c r="AG73" s="90"/>
      <c r="AH73" s="90"/>
      <c r="AI73" s="90"/>
      <c r="AJ73" s="90"/>
      <c r="AK73" s="90"/>
      <c r="AL73" s="90"/>
      <c r="AM73" s="90"/>
      <c r="AN73" s="90"/>
      <c r="AO73" s="90"/>
      <c r="AP73" s="90"/>
      <c r="AQ73" s="90"/>
      <c r="AR73" s="90"/>
      <c r="AS73" s="90"/>
    </row>
    <row r="74" spans="1:45" ht="15" thickBot="1">
      <c r="A74" s="22">
        <v>4</v>
      </c>
      <c r="B74" s="23">
        <v>46053</v>
      </c>
      <c r="C74" s="24" t="s">
        <v>30</v>
      </c>
      <c r="D74" s="22">
        <v>8049.99</v>
      </c>
      <c r="F74" s="11" t="s">
        <v>27</v>
      </c>
      <c r="G74" s="2"/>
      <c r="H74" s="2"/>
      <c r="I74" s="11"/>
      <c r="J74" s="2"/>
      <c r="K74" s="2"/>
      <c r="L74" s="2"/>
      <c r="M74" s="2"/>
      <c r="N74" s="2"/>
      <c r="O74" s="11"/>
      <c r="P74" s="2"/>
      <c r="Q74" s="2"/>
      <c r="R74" s="2"/>
      <c r="S74" s="2"/>
      <c r="T74" s="11"/>
      <c r="U74" s="2"/>
      <c r="V74" s="2"/>
      <c r="W74" s="85"/>
      <c r="X74" s="74"/>
      <c r="Y74" s="89"/>
      <c r="Z74" s="11"/>
      <c r="AA74" s="75"/>
      <c r="AB74" s="75"/>
      <c r="AC74" s="75"/>
      <c r="AE74" s="99" t="s">
        <v>117</v>
      </c>
      <c r="AF74" s="92"/>
      <c r="AG74" s="92"/>
      <c r="AH74" s="92"/>
      <c r="AI74" s="92"/>
      <c r="AJ74" s="90"/>
      <c r="AK74" s="90"/>
      <c r="AL74" s="90"/>
      <c r="AM74" s="90"/>
      <c r="AN74" s="90"/>
      <c r="AO74" s="90"/>
      <c r="AP74" s="90"/>
      <c r="AQ74" s="90"/>
      <c r="AR74" s="90"/>
      <c r="AS74" s="90"/>
    </row>
    <row r="75" spans="1:45" ht="15" thickBot="1">
      <c r="A75" s="22">
        <v>5</v>
      </c>
      <c r="B75" s="23">
        <v>46053</v>
      </c>
      <c r="C75" s="24" t="s">
        <v>31</v>
      </c>
      <c r="D75" s="22">
        <v>21800</v>
      </c>
      <c r="F75" s="11" t="s">
        <v>27</v>
      </c>
      <c r="G75" s="2"/>
      <c r="H75" s="2"/>
      <c r="I75" s="11"/>
      <c r="J75" s="2"/>
      <c r="K75" s="2"/>
      <c r="L75" s="2"/>
      <c r="M75" s="2"/>
      <c r="N75" s="2"/>
      <c r="O75" s="11"/>
      <c r="P75" s="2"/>
      <c r="Q75" s="2"/>
      <c r="R75" s="2"/>
      <c r="S75" s="2"/>
      <c r="T75" s="11"/>
      <c r="U75" s="2"/>
      <c r="V75" s="2"/>
      <c r="W75" s="85"/>
      <c r="X75" s="74"/>
      <c r="Y75" s="89"/>
      <c r="Z75" s="11"/>
      <c r="AA75" s="75"/>
      <c r="AB75" s="75"/>
      <c r="AC75" s="75"/>
      <c r="AD75" s="93" t="s">
        <v>89</v>
      </c>
      <c r="AE75" s="94">
        <f>SUM(AF75:AS75)</f>
        <v>0</v>
      </c>
      <c r="AF75" s="95">
        <f t="shared" ref="AF75:AG75" si="46">SUM(AF71:AF74)</f>
        <v>0</v>
      </c>
      <c r="AG75" s="95">
        <f t="shared" si="46"/>
        <v>0</v>
      </c>
      <c r="AH75" s="95">
        <f>SUM(AH71:AH74)</f>
        <v>0</v>
      </c>
      <c r="AI75" s="95">
        <f t="shared" ref="AI75:AS75" si="47">SUM(AI71:AI74)</f>
        <v>0</v>
      </c>
      <c r="AJ75" s="95">
        <f t="shared" si="47"/>
        <v>0</v>
      </c>
      <c r="AK75" s="95">
        <f t="shared" si="47"/>
        <v>0</v>
      </c>
      <c r="AL75" s="95">
        <f t="shared" si="47"/>
        <v>0</v>
      </c>
      <c r="AM75" s="95">
        <f t="shared" si="47"/>
        <v>0</v>
      </c>
      <c r="AN75" s="95">
        <f t="shared" si="47"/>
        <v>0</v>
      </c>
      <c r="AO75" s="95">
        <f t="shared" si="47"/>
        <v>0</v>
      </c>
      <c r="AP75" s="95">
        <f t="shared" si="47"/>
        <v>0</v>
      </c>
      <c r="AQ75" s="95">
        <f t="shared" si="47"/>
        <v>0</v>
      </c>
      <c r="AR75" s="95">
        <f t="shared" si="47"/>
        <v>0</v>
      </c>
      <c r="AS75" s="95">
        <f t="shared" si="47"/>
        <v>0</v>
      </c>
    </row>
    <row r="76" spans="1:45" ht="15" thickBot="1">
      <c r="A76" s="22">
        <v>6</v>
      </c>
      <c r="B76" s="23">
        <v>46053</v>
      </c>
      <c r="C76" s="24" t="s">
        <v>32</v>
      </c>
      <c r="D76" s="22">
        <v>10499.99</v>
      </c>
      <c r="F76" s="11" t="s">
        <v>27</v>
      </c>
      <c r="G76" s="2"/>
      <c r="H76" s="2"/>
      <c r="I76" s="11"/>
      <c r="J76" s="2"/>
      <c r="K76" s="2"/>
      <c r="L76" s="2"/>
      <c r="M76" s="2"/>
      <c r="N76" s="2"/>
      <c r="O76" s="11"/>
      <c r="P76" s="2"/>
      <c r="Q76" s="2"/>
      <c r="R76" s="2"/>
      <c r="S76" s="2"/>
      <c r="T76" s="11"/>
      <c r="U76" s="2"/>
      <c r="V76" s="2"/>
      <c r="W76" s="85"/>
      <c r="X76" s="74"/>
      <c r="Y76" s="89"/>
      <c r="Z76" s="11"/>
      <c r="AA76" s="75"/>
      <c r="AB76" s="75"/>
      <c r="AC76" s="75"/>
    </row>
    <row r="77" spans="1:45" ht="29.4" thickBot="1">
      <c r="A77" s="22">
        <v>7</v>
      </c>
      <c r="B77" s="23">
        <v>46053</v>
      </c>
      <c r="C77" s="24" t="s">
        <v>34</v>
      </c>
      <c r="D77" s="22">
        <v>102187.99</v>
      </c>
      <c r="F77" s="37" t="s">
        <v>33</v>
      </c>
      <c r="G77" s="3">
        <f>SUM(G71:G76)</f>
        <v>220448.31</v>
      </c>
      <c r="H77" s="3">
        <f t="shared" ref="H77:K77" si="48">SUM(H71:H76)</f>
        <v>24038</v>
      </c>
      <c r="I77" s="3">
        <f t="shared" si="48"/>
        <v>209316.24</v>
      </c>
      <c r="J77" s="3">
        <f t="shared" si="48"/>
        <v>20604</v>
      </c>
      <c r="K77" s="3">
        <f t="shared" si="48"/>
        <v>210321</v>
      </c>
      <c r="L77" s="3">
        <f>SUM(L71:L76)</f>
        <v>20604.330000000002</v>
      </c>
      <c r="M77" s="3"/>
      <c r="N77" s="3"/>
      <c r="O77" s="3">
        <f t="shared" ref="O77:V77" si="49">SUM(O71:O76)</f>
        <v>195217</v>
      </c>
      <c r="P77" s="3">
        <f t="shared" si="49"/>
        <v>20604</v>
      </c>
      <c r="Q77" s="3">
        <f t="shared" si="49"/>
        <v>319433</v>
      </c>
      <c r="R77" s="3">
        <f t="shared" si="49"/>
        <v>27473</v>
      </c>
      <c r="S77" s="3">
        <f t="shared" si="49"/>
        <v>220809.02</v>
      </c>
      <c r="T77" s="3">
        <f t="shared" si="49"/>
        <v>219713</v>
      </c>
      <c r="U77" s="3">
        <f t="shared" si="49"/>
        <v>233322.7</v>
      </c>
      <c r="V77" s="3">
        <f t="shared" si="49"/>
        <v>107364.09000000001</v>
      </c>
      <c r="W77" s="73">
        <f t="shared" ref="W77:AB77" si="50">SUM(W71:W76)</f>
        <v>48076</v>
      </c>
      <c r="X77" s="52">
        <f t="shared" si="50"/>
        <v>10500</v>
      </c>
      <c r="Y77" s="52">
        <f t="shared" si="50"/>
        <v>6400</v>
      </c>
      <c r="Z77" s="52">
        <f t="shared" si="50"/>
        <v>5000</v>
      </c>
      <c r="AA77" s="52">
        <f t="shared" si="50"/>
        <v>1947</v>
      </c>
      <c r="AB77" s="52">
        <f t="shared" si="50"/>
        <v>0</v>
      </c>
      <c r="AC77" s="52">
        <f>SUM(AC71:AC76)</f>
        <v>0</v>
      </c>
    </row>
    <row r="78" spans="1:45" ht="28.8">
      <c r="A78" s="22">
        <v>8</v>
      </c>
      <c r="B78" s="23">
        <v>46053</v>
      </c>
      <c r="C78" s="24" t="s">
        <v>85</v>
      </c>
      <c r="D78" s="22">
        <v>298230.99</v>
      </c>
      <c r="F78" s="41" t="s">
        <v>35</v>
      </c>
      <c r="G78" s="36">
        <v>220448.31</v>
      </c>
      <c r="H78" s="36">
        <v>24038.799999999999</v>
      </c>
      <c r="I78" s="36">
        <v>209316.35</v>
      </c>
      <c r="J78" s="36">
        <v>20604.400000000001</v>
      </c>
      <c r="K78" s="36">
        <v>210320.35</v>
      </c>
      <c r="L78" s="36">
        <v>20604.400000000001</v>
      </c>
      <c r="M78" s="36"/>
      <c r="N78" s="36"/>
      <c r="O78" s="36">
        <v>195216.35</v>
      </c>
      <c r="P78" s="36">
        <v>20604.400000000001</v>
      </c>
      <c r="Q78" s="36">
        <v>319432.96999999997</v>
      </c>
      <c r="R78" s="36">
        <v>27473.19</v>
      </c>
      <c r="S78" s="36">
        <v>220809.02</v>
      </c>
      <c r="T78" s="36">
        <v>219713.02</v>
      </c>
      <c r="U78" s="36">
        <v>233322.26</v>
      </c>
      <c r="V78" s="36">
        <v>107364.09</v>
      </c>
      <c r="W78" s="17"/>
      <c r="X78" s="17"/>
      <c r="Y78" s="17"/>
      <c r="Z78" s="17"/>
      <c r="AA78" s="17"/>
      <c r="AB78" s="17"/>
      <c r="AC78" s="17"/>
    </row>
    <row r="79" spans="1:45">
      <c r="A79" s="22">
        <v>9</v>
      </c>
      <c r="B79" s="23">
        <v>46053</v>
      </c>
      <c r="C79" s="24" t="s">
        <v>37</v>
      </c>
      <c r="D79" s="22">
        <v>29140.97</v>
      </c>
      <c r="F79" s="43" t="s">
        <v>84</v>
      </c>
      <c r="G79" s="51">
        <f t="shared" ref="G79:L79" si="51">(G78-G77)</f>
        <v>0</v>
      </c>
      <c r="H79" s="51">
        <f t="shared" si="51"/>
        <v>0.7999999999992724</v>
      </c>
      <c r="I79" s="51">
        <f t="shared" si="51"/>
        <v>0.11000000001513399</v>
      </c>
      <c r="J79" s="51">
        <f t="shared" si="51"/>
        <v>0.40000000000145519</v>
      </c>
      <c r="K79" s="51">
        <f t="shared" si="51"/>
        <v>-0.64999999999417923</v>
      </c>
      <c r="L79" s="51">
        <f t="shared" si="51"/>
        <v>6.9999999999708962E-2</v>
      </c>
      <c r="M79" s="51"/>
      <c r="N79" s="51"/>
      <c r="O79" s="51">
        <f>(O78-O77)</f>
        <v>-0.64999999999417923</v>
      </c>
      <c r="P79" s="51">
        <f>(P78-P77)</f>
        <v>0.40000000000145519</v>
      </c>
      <c r="Q79" s="51">
        <f t="shared" ref="Q79:U79" si="52">(Q78-Q77)</f>
        <v>-3.0000000027939677E-2</v>
      </c>
      <c r="R79" s="51">
        <f t="shared" si="52"/>
        <v>0.18999999999869033</v>
      </c>
      <c r="S79" s="51">
        <f>(S78-S77)</f>
        <v>0</v>
      </c>
      <c r="T79" s="51">
        <f t="shared" si="52"/>
        <v>1.9999999989522621E-2</v>
      </c>
      <c r="U79" s="51">
        <f t="shared" si="52"/>
        <v>-0.44000000000232831</v>
      </c>
      <c r="V79" s="51">
        <f>(V78-V77)</f>
        <v>-1.4551915228366852E-11</v>
      </c>
      <c r="W79" s="28"/>
      <c r="X79" s="28"/>
      <c r="Y79" s="28"/>
      <c r="Z79" s="28"/>
      <c r="AA79" s="28"/>
      <c r="AB79" s="28"/>
      <c r="AC79" s="28"/>
    </row>
    <row r="80" spans="1:45" ht="28.8">
      <c r="A80" s="22">
        <v>10</v>
      </c>
      <c r="B80" s="23">
        <v>46053</v>
      </c>
      <c r="C80" s="24" t="s">
        <v>57</v>
      </c>
      <c r="D80" s="22">
        <v>0</v>
      </c>
      <c r="F80" s="4" t="s">
        <v>4</v>
      </c>
      <c r="G80" s="4" t="s">
        <v>38</v>
      </c>
      <c r="H80" s="5" t="s">
        <v>39</v>
      </c>
      <c r="I80" s="5" t="s">
        <v>86</v>
      </c>
      <c r="J80" s="5" t="s">
        <v>41</v>
      </c>
      <c r="K80" s="5" t="s">
        <v>42</v>
      </c>
      <c r="L80" s="26" t="s">
        <v>43</v>
      </c>
      <c r="M80" s="5" t="s">
        <v>44</v>
      </c>
      <c r="N80" s="26" t="s">
        <v>45</v>
      </c>
      <c r="O80" s="26" t="s">
        <v>46</v>
      </c>
      <c r="P80" s="26" t="s">
        <v>47</v>
      </c>
      <c r="Q80" s="26" t="s">
        <v>48</v>
      </c>
      <c r="R80" s="26" t="s">
        <v>49</v>
      </c>
      <c r="S80" s="27" t="s">
        <v>50</v>
      </c>
      <c r="T80" s="29" t="s">
        <v>51</v>
      </c>
      <c r="U80" s="29" t="s">
        <v>100</v>
      </c>
      <c r="V80" s="107" t="s">
        <v>109</v>
      </c>
      <c r="W80" s="30"/>
      <c r="X80" s="30"/>
      <c r="Y80" s="30"/>
      <c r="Z80" s="30"/>
      <c r="AA80" s="30"/>
      <c r="AB80" s="30"/>
      <c r="AC80" s="30"/>
    </row>
    <row r="81" spans="1:46">
      <c r="A81" s="22">
        <v>11</v>
      </c>
      <c r="B81" s="23">
        <v>46053</v>
      </c>
      <c r="C81" s="24" t="s">
        <v>60</v>
      </c>
      <c r="D81" s="22">
        <v>35299.980000000003</v>
      </c>
      <c r="F81" s="11" t="s">
        <v>3</v>
      </c>
      <c r="G81" s="16">
        <v>46068</v>
      </c>
      <c r="H81" s="16">
        <v>46068</v>
      </c>
      <c r="I81" s="16">
        <v>46068</v>
      </c>
      <c r="J81" s="16">
        <v>46068</v>
      </c>
      <c r="K81" s="16">
        <v>46068</v>
      </c>
      <c r="L81" s="16">
        <v>46068</v>
      </c>
      <c r="M81" s="16">
        <v>46068</v>
      </c>
      <c r="N81" s="16">
        <v>46068</v>
      </c>
      <c r="O81" s="16">
        <v>46068</v>
      </c>
      <c r="P81" s="16">
        <v>46068</v>
      </c>
      <c r="Q81" s="16">
        <v>46068</v>
      </c>
      <c r="R81" s="16">
        <v>46068</v>
      </c>
      <c r="S81" s="16">
        <v>46068</v>
      </c>
      <c r="T81" s="16">
        <v>46068</v>
      </c>
      <c r="U81" s="16">
        <v>46068</v>
      </c>
      <c r="V81" s="105">
        <v>46068</v>
      </c>
      <c r="W81" s="31"/>
      <c r="X81" s="31"/>
      <c r="Y81" s="31"/>
      <c r="Z81" s="31"/>
      <c r="AA81" s="31"/>
      <c r="AB81" s="31"/>
      <c r="AC81" s="31"/>
    </row>
    <row r="82" spans="1:46" ht="15" thickBot="1">
      <c r="A82" s="22">
        <v>12</v>
      </c>
      <c r="B82" s="23">
        <v>46053</v>
      </c>
      <c r="C82" s="24" t="s">
        <v>102</v>
      </c>
      <c r="D82" s="22">
        <v>68899.990000000005</v>
      </c>
      <c r="F82" s="46" t="s">
        <v>59</v>
      </c>
      <c r="G82" s="46">
        <v>561000</v>
      </c>
      <c r="H82" s="46">
        <v>434564</v>
      </c>
      <c r="I82" s="46">
        <v>298230.99</v>
      </c>
      <c r="J82" s="46">
        <v>128022</v>
      </c>
      <c r="K82" s="46">
        <v>102187.99</v>
      </c>
      <c r="L82" s="46">
        <v>29140.97</v>
      </c>
      <c r="M82" s="46">
        <v>10499.99</v>
      </c>
      <c r="N82" s="46">
        <v>8049.99</v>
      </c>
      <c r="O82" s="46">
        <v>21800</v>
      </c>
      <c r="P82" s="46">
        <v>0</v>
      </c>
      <c r="Q82" s="46">
        <v>0</v>
      </c>
      <c r="R82" s="46">
        <v>35299.980000000003</v>
      </c>
      <c r="S82" s="46">
        <v>326921</v>
      </c>
      <c r="T82" s="46">
        <v>68899.990000000005</v>
      </c>
      <c r="U82" s="46">
        <v>31950</v>
      </c>
      <c r="V82" s="106">
        <v>12555</v>
      </c>
      <c r="W82" s="17"/>
      <c r="X82" s="17"/>
      <c r="Y82" s="17"/>
      <c r="Z82" s="17"/>
      <c r="AA82" s="17"/>
      <c r="AB82" s="17"/>
      <c r="AC82" s="17"/>
    </row>
    <row r="83" spans="1:46" ht="43.8" thickBot="1">
      <c r="A83" s="22">
        <v>13</v>
      </c>
      <c r="B83" s="23">
        <v>46053</v>
      </c>
      <c r="C83" s="24" t="s">
        <v>103</v>
      </c>
      <c r="D83" s="22">
        <v>326921</v>
      </c>
      <c r="F83" s="53" t="s">
        <v>81</v>
      </c>
      <c r="G83" s="54">
        <f>SUM(G78:V78)</f>
        <v>2049267.9100000001</v>
      </c>
      <c r="I83" s="55" t="s">
        <v>33</v>
      </c>
      <c r="J83" s="56">
        <f>SUM(G77:V77)-AE81</f>
        <v>2049267.69</v>
      </c>
      <c r="L83" s="63" t="s">
        <v>77</v>
      </c>
      <c r="M83" s="64">
        <f>(G83-J83)</f>
        <v>0.22000000020489097</v>
      </c>
      <c r="O83" s="57" t="s">
        <v>92</v>
      </c>
      <c r="P83" s="58">
        <f>SUM(G82:V82)</f>
        <v>2069121.9</v>
      </c>
      <c r="Q83" s="17"/>
      <c r="R83" s="59" t="s">
        <v>82</v>
      </c>
      <c r="S83" s="60">
        <f>SUM(X77:AC77)</f>
        <v>23847</v>
      </c>
      <c r="T83" s="32"/>
      <c r="U83" s="17"/>
      <c r="V83" s="17"/>
    </row>
    <row r="84" spans="1:46">
      <c r="A84" s="22">
        <v>14</v>
      </c>
      <c r="B84" s="23">
        <v>46053</v>
      </c>
      <c r="C84" s="24" t="s">
        <v>100</v>
      </c>
      <c r="D84" s="22">
        <v>31950</v>
      </c>
    </row>
    <row r="85" spans="1:46">
      <c r="A85" s="22">
        <v>15</v>
      </c>
      <c r="B85" s="23">
        <v>46053</v>
      </c>
      <c r="C85" s="24" t="s">
        <v>109</v>
      </c>
      <c r="D85" s="22">
        <v>12555</v>
      </c>
    </row>
    <row r="87" spans="1:46" ht="18.600000000000001" thickBot="1">
      <c r="A87" s="120" t="s">
        <v>106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7"/>
      <c r="V87" s="7"/>
      <c r="W87" s="7"/>
      <c r="X87" s="7"/>
      <c r="Y87" s="7"/>
      <c r="Z87" s="7"/>
      <c r="AA87" s="115"/>
      <c r="AB87" s="116"/>
      <c r="AC87" s="97"/>
      <c r="AE87" s="117" t="s">
        <v>80</v>
      </c>
      <c r="AF87" s="118"/>
      <c r="AG87" s="118"/>
      <c r="AH87" s="118"/>
      <c r="AI87" s="118"/>
      <c r="AJ87" s="118"/>
      <c r="AK87" s="118"/>
      <c r="AL87" s="118"/>
      <c r="AM87" s="118"/>
      <c r="AN87" s="118"/>
      <c r="AO87" s="118"/>
      <c r="AP87" s="118"/>
      <c r="AQ87" s="118"/>
      <c r="AR87" s="118"/>
      <c r="AS87" s="118"/>
    </row>
    <row r="88" spans="1:46" ht="43.8" thickBot="1">
      <c r="A88" s="8" t="s">
        <v>2</v>
      </c>
      <c r="B88" s="8" t="s">
        <v>3</v>
      </c>
      <c r="C88" s="8" t="s">
        <v>4</v>
      </c>
      <c r="D88" s="8" t="s">
        <v>5</v>
      </c>
      <c r="F88" s="4" t="s">
        <v>6</v>
      </c>
      <c r="G88" s="4" t="s">
        <v>7</v>
      </c>
      <c r="H88" s="4" t="s">
        <v>8</v>
      </c>
      <c r="I88" s="5" t="s">
        <v>9</v>
      </c>
      <c r="J88" s="5" t="s">
        <v>10</v>
      </c>
      <c r="K88" s="5" t="s">
        <v>11</v>
      </c>
      <c r="L88" s="5" t="s">
        <v>12</v>
      </c>
      <c r="M88" s="5" t="s">
        <v>13</v>
      </c>
      <c r="N88" s="5" t="s">
        <v>14</v>
      </c>
      <c r="O88" s="5" t="s">
        <v>15</v>
      </c>
      <c r="P88" s="5" t="s">
        <v>16</v>
      </c>
      <c r="Q88" s="5" t="s">
        <v>17</v>
      </c>
      <c r="R88" s="5" t="s">
        <v>18</v>
      </c>
      <c r="S88" s="5" t="s">
        <v>19</v>
      </c>
      <c r="T88" s="5" t="s">
        <v>20</v>
      </c>
      <c r="U88" s="5" t="s">
        <v>21</v>
      </c>
      <c r="V88" s="5" t="s">
        <v>22</v>
      </c>
      <c r="W88" s="70" t="s">
        <v>24</v>
      </c>
      <c r="X88" s="48" t="s">
        <v>23</v>
      </c>
      <c r="Y88" s="86" t="s">
        <v>105</v>
      </c>
      <c r="Z88" s="48" t="s">
        <v>70</v>
      </c>
      <c r="AA88" s="68" t="s">
        <v>104</v>
      </c>
      <c r="AB88" s="68" t="s">
        <v>113</v>
      </c>
      <c r="AC88" s="68" t="s">
        <v>134</v>
      </c>
      <c r="AE88" s="100" t="s">
        <v>124</v>
      </c>
      <c r="AF88" s="91" t="s">
        <v>7</v>
      </c>
      <c r="AG88" s="91" t="s">
        <v>9</v>
      </c>
      <c r="AH88" s="91" t="s">
        <v>11</v>
      </c>
      <c r="AI88" s="91" t="s">
        <v>15</v>
      </c>
      <c r="AJ88" s="91" t="s">
        <v>17</v>
      </c>
      <c r="AK88" s="91" t="s">
        <v>19</v>
      </c>
      <c r="AL88" s="91" t="s">
        <v>20</v>
      </c>
      <c r="AM88" s="91" t="s">
        <v>21</v>
      </c>
      <c r="AN88" s="91" t="s">
        <v>22</v>
      </c>
      <c r="AO88" s="91" t="s">
        <v>8</v>
      </c>
      <c r="AP88" s="91" t="s">
        <v>10</v>
      </c>
      <c r="AQ88" s="91" t="s">
        <v>125</v>
      </c>
      <c r="AR88" s="91" t="s">
        <v>16</v>
      </c>
      <c r="AS88" s="91" t="s">
        <v>18</v>
      </c>
    </row>
    <row r="89" spans="1:46">
      <c r="A89" s="22">
        <v>1</v>
      </c>
      <c r="B89" s="23">
        <v>46081</v>
      </c>
      <c r="C89" s="24" t="s">
        <v>26</v>
      </c>
      <c r="D89" s="22">
        <v>141742</v>
      </c>
      <c r="F89" s="11" t="s">
        <v>27</v>
      </c>
      <c r="G89" s="11">
        <v>165144.59</v>
      </c>
      <c r="H89" s="12">
        <v>20903</v>
      </c>
      <c r="I89" s="11">
        <v>162425.20000000001</v>
      </c>
      <c r="J89" s="12">
        <v>17946</v>
      </c>
      <c r="K89" s="11">
        <v>192624</v>
      </c>
      <c r="L89" s="11">
        <f>SUM(M89:N89)</f>
        <v>9446</v>
      </c>
      <c r="M89" s="11">
        <v>6318</v>
      </c>
      <c r="N89" s="12">
        <v>3128</v>
      </c>
      <c r="O89" s="11">
        <v>145925.20000000001</v>
      </c>
      <c r="P89" s="11">
        <v>16780</v>
      </c>
      <c r="Q89" s="11">
        <v>248415</v>
      </c>
      <c r="R89" s="11">
        <v>10880</v>
      </c>
      <c r="S89" s="11">
        <v>176405</v>
      </c>
      <c r="T89" s="11">
        <v>174833</v>
      </c>
      <c r="U89" s="11">
        <v>5829.13</v>
      </c>
      <c r="V89" s="11">
        <v>86773.84</v>
      </c>
      <c r="W89" s="72">
        <v>41980</v>
      </c>
      <c r="X89" s="74">
        <v>3000</v>
      </c>
      <c r="Y89" s="74"/>
      <c r="Z89" s="11">
        <v>10000</v>
      </c>
      <c r="AA89" s="75">
        <v>2189</v>
      </c>
      <c r="AB89" s="75"/>
      <c r="AC89" s="75"/>
      <c r="AD89" s="33" t="s">
        <v>78</v>
      </c>
      <c r="AE89" s="50" t="s">
        <v>88</v>
      </c>
      <c r="AF89" s="90"/>
      <c r="AG89" s="90"/>
      <c r="AH89" s="90"/>
      <c r="AI89" s="90"/>
      <c r="AJ89" s="90">
        <v>3000</v>
      </c>
      <c r="AK89" s="90"/>
      <c r="AL89" s="90"/>
      <c r="AM89" s="90">
        <v>5000</v>
      </c>
      <c r="AN89" s="90"/>
      <c r="AO89" s="90"/>
      <c r="AP89" s="90"/>
      <c r="AQ89" s="90"/>
      <c r="AR89" s="90"/>
      <c r="AS89" s="90"/>
      <c r="AT89" s="103"/>
    </row>
    <row r="90" spans="1:46">
      <c r="A90" s="22">
        <v>2</v>
      </c>
      <c r="B90" s="23">
        <v>46081</v>
      </c>
      <c r="C90" s="24" t="s">
        <v>28</v>
      </c>
      <c r="D90" s="22">
        <v>414856</v>
      </c>
      <c r="F90" s="11" t="s">
        <v>27</v>
      </c>
      <c r="G90" s="11">
        <v>31937</v>
      </c>
      <c r="H90" s="12">
        <v>2285</v>
      </c>
      <c r="I90" s="11">
        <v>37377.519999999997</v>
      </c>
      <c r="J90" s="12">
        <v>1959</v>
      </c>
      <c r="K90" s="11"/>
      <c r="L90" s="11">
        <f>SUM(M90:N90)</f>
        <v>7444</v>
      </c>
      <c r="M90" s="11">
        <v>7117</v>
      </c>
      <c r="N90" s="12">
        <v>327</v>
      </c>
      <c r="O90" s="11">
        <v>37377.51</v>
      </c>
      <c r="P90" s="11">
        <v>3124.86</v>
      </c>
      <c r="Q90" s="11">
        <v>49046</v>
      </c>
      <c r="R90" s="11">
        <v>6771</v>
      </c>
      <c r="S90" s="11">
        <v>34218</v>
      </c>
      <c r="T90" s="11">
        <v>34218</v>
      </c>
      <c r="U90" s="11">
        <v>159436.47</v>
      </c>
      <c r="V90" s="11">
        <v>8978</v>
      </c>
      <c r="W90" s="72">
        <v>4574</v>
      </c>
      <c r="X90" s="74">
        <v>500</v>
      </c>
      <c r="Y90" s="89"/>
      <c r="Z90" s="11">
        <v>10000</v>
      </c>
      <c r="AA90" s="75">
        <v>1450</v>
      </c>
      <c r="AB90" s="75"/>
      <c r="AC90" s="75"/>
      <c r="AD90" s="34" t="s">
        <v>79</v>
      </c>
      <c r="AE90" s="50" t="s">
        <v>87</v>
      </c>
      <c r="AF90" s="90"/>
      <c r="AG90" s="90"/>
      <c r="AH90" s="90"/>
      <c r="AI90" s="90"/>
      <c r="AJ90" s="90">
        <v>1904</v>
      </c>
      <c r="AK90" s="90"/>
      <c r="AL90" s="90"/>
      <c r="AM90" s="90">
        <v>5000</v>
      </c>
      <c r="AN90" s="90"/>
      <c r="AO90" s="90"/>
      <c r="AP90" s="90"/>
      <c r="AQ90" s="90"/>
      <c r="AR90" s="90"/>
      <c r="AS90" s="90"/>
    </row>
    <row r="91" spans="1:46">
      <c r="A91" s="22">
        <v>3</v>
      </c>
      <c r="B91" s="23">
        <v>46081</v>
      </c>
      <c r="C91" s="24" t="s">
        <v>29</v>
      </c>
      <c r="D91" s="22">
        <v>508500</v>
      </c>
      <c r="F91" s="11" t="s">
        <v>27</v>
      </c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>
        <v>11386</v>
      </c>
      <c r="S91" s="11"/>
      <c r="T91" s="11"/>
      <c r="U91" s="11">
        <v>34218</v>
      </c>
      <c r="V91" s="11">
        <v>5343.37</v>
      </c>
      <c r="W91" s="85"/>
      <c r="X91" s="74"/>
      <c r="Y91" s="89"/>
      <c r="Z91" s="11">
        <v>7000</v>
      </c>
      <c r="AA91" s="75">
        <v>1500</v>
      </c>
      <c r="AB91" s="75"/>
      <c r="AC91" s="75"/>
      <c r="AE91" s="50" t="s">
        <v>116</v>
      </c>
      <c r="AF91" s="90"/>
      <c r="AG91" s="90"/>
      <c r="AH91" s="90">
        <v>5000</v>
      </c>
      <c r="AI91" s="90"/>
      <c r="AJ91" s="90"/>
      <c r="AK91" s="90"/>
      <c r="AL91" s="90"/>
      <c r="AM91" s="90"/>
      <c r="AN91" s="90"/>
      <c r="AO91" s="90"/>
      <c r="AP91" s="90"/>
      <c r="AQ91" s="90"/>
      <c r="AR91" s="90"/>
      <c r="AS91" s="90"/>
    </row>
    <row r="92" spans="1:46" ht="15" thickBot="1">
      <c r="A92" s="22">
        <v>4</v>
      </c>
      <c r="B92" s="23">
        <v>46081</v>
      </c>
      <c r="C92" s="24" t="s">
        <v>30</v>
      </c>
      <c r="D92" s="22">
        <v>8505</v>
      </c>
      <c r="F92" s="11" t="s">
        <v>27</v>
      </c>
      <c r="G92" s="2"/>
      <c r="H92" s="2"/>
      <c r="I92" s="11"/>
      <c r="J92" s="2"/>
      <c r="K92" s="2"/>
      <c r="L92" s="2"/>
      <c r="M92" s="2"/>
      <c r="N92" s="2"/>
      <c r="O92" s="11"/>
      <c r="P92" s="2"/>
      <c r="Q92" s="2"/>
      <c r="R92" s="2"/>
      <c r="S92" s="2"/>
      <c r="T92" s="11"/>
      <c r="U92" s="2"/>
      <c r="V92" s="2"/>
      <c r="W92" s="85"/>
      <c r="X92" s="74"/>
      <c r="Y92" s="89"/>
      <c r="Z92" s="11"/>
      <c r="AA92" s="75"/>
      <c r="AB92" s="75"/>
      <c r="AC92" s="75"/>
      <c r="AE92" s="99" t="s">
        <v>117</v>
      </c>
      <c r="AF92" s="92"/>
      <c r="AG92" s="92"/>
      <c r="AH92" s="92"/>
      <c r="AI92" s="92"/>
      <c r="AJ92" s="90"/>
      <c r="AK92" s="90"/>
      <c r="AL92" s="90"/>
      <c r="AM92" s="90">
        <v>12295.85</v>
      </c>
      <c r="AN92" s="90"/>
      <c r="AO92" s="90"/>
      <c r="AP92" s="90"/>
      <c r="AQ92" s="90"/>
      <c r="AR92" s="90"/>
      <c r="AS92" s="90"/>
    </row>
    <row r="93" spans="1:46" ht="15" thickBot="1">
      <c r="A93" s="22">
        <v>5</v>
      </c>
      <c r="B93" s="23">
        <v>46081</v>
      </c>
      <c r="C93" s="24" t="s">
        <v>31</v>
      </c>
      <c r="D93" s="22">
        <v>21800</v>
      </c>
      <c r="F93" s="11" t="s">
        <v>27</v>
      </c>
      <c r="G93" s="2"/>
      <c r="H93" s="2"/>
      <c r="I93" s="11"/>
      <c r="J93" s="2"/>
      <c r="K93" s="2"/>
      <c r="L93" s="2"/>
      <c r="M93" s="2"/>
      <c r="N93" s="2"/>
      <c r="O93" s="11"/>
      <c r="P93" s="2"/>
      <c r="Q93" s="2"/>
      <c r="R93" s="2"/>
      <c r="S93" s="2"/>
      <c r="T93" s="11"/>
      <c r="U93" s="2"/>
      <c r="V93" s="2"/>
      <c r="W93" s="85"/>
      <c r="X93" s="74"/>
      <c r="Y93" s="89"/>
      <c r="Z93" s="11"/>
      <c r="AA93" s="75"/>
      <c r="AB93" s="75"/>
      <c r="AC93" s="75"/>
      <c r="AD93" s="93" t="s">
        <v>89</v>
      </c>
      <c r="AE93" s="94">
        <f>SUM(AF93:AS93)</f>
        <v>32199.85</v>
      </c>
      <c r="AF93" s="95">
        <f t="shared" ref="AF93:AG93" si="53">SUM(AF89:AF92)</f>
        <v>0</v>
      </c>
      <c r="AG93" s="95">
        <f t="shared" si="53"/>
        <v>0</v>
      </c>
      <c r="AH93" s="95">
        <f>SUM(AH89:AH92)</f>
        <v>5000</v>
      </c>
      <c r="AI93" s="95">
        <f t="shared" ref="AI93:AS93" si="54">SUM(AI89:AI92)</f>
        <v>0</v>
      </c>
      <c r="AJ93" s="95">
        <f t="shared" si="54"/>
        <v>4904</v>
      </c>
      <c r="AK93" s="95">
        <f t="shared" si="54"/>
        <v>0</v>
      </c>
      <c r="AL93" s="95">
        <f t="shared" si="54"/>
        <v>0</v>
      </c>
      <c r="AM93" s="95">
        <f t="shared" si="54"/>
        <v>22295.85</v>
      </c>
      <c r="AN93" s="95">
        <f t="shared" si="54"/>
        <v>0</v>
      </c>
      <c r="AO93" s="95">
        <f t="shared" si="54"/>
        <v>0</v>
      </c>
      <c r="AP93" s="95">
        <f t="shared" si="54"/>
        <v>0</v>
      </c>
      <c r="AQ93" s="95">
        <f t="shared" si="54"/>
        <v>0</v>
      </c>
      <c r="AR93" s="95">
        <f t="shared" si="54"/>
        <v>0</v>
      </c>
      <c r="AS93" s="95">
        <f t="shared" si="54"/>
        <v>0</v>
      </c>
    </row>
    <row r="94" spans="1:46" ht="15" thickBot="1">
      <c r="A94" s="22">
        <v>6</v>
      </c>
      <c r="B94" s="23">
        <v>46081</v>
      </c>
      <c r="C94" s="24" t="s">
        <v>32</v>
      </c>
      <c r="D94" s="22">
        <v>10499.99</v>
      </c>
      <c r="F94" s="11" t="s">
        <v>27</v>
      </c>
      <c r="G94" s="2"/>
      <c r="H94" s="2"/>
      <c r="I94" s="11"/>
      <c r="J94" s="2"/>
      <c r="K94" s="2"/>
      <c r="L94" s="2"/>
      <c r="M94" s="2"/>
      <c r="N94" s="2"/>
      <c r="O94" s="11"/>
      <c r="P94" s="2"/>
      <c r="Q94" s="2"/>
      <c r="R94" s="2"/>
      <c r="S94" s="2"/>
      <c r="T94" s="11"/>
      <c r="U94" s="2"/>
      <c r="V94" s="2"/>
      <c r="W94" s="85"/>
      <c r="X94" s="74"/>
      <c r="Y94" s="89"/>
      <c r="Z94" s="11"/>
      <c r="AA94" s="75"/>
      <c r="AB94" s="75"/>
      <c r="AC94" s="75"/>
    </row>
    <row r="95" spans="1:46" ht="29.4" thickBot="1">
      <c r="A95" s="22">
        <v>7</v>
      </c>
      <c r="B95" s="23">
        <v>46081</v>
      </c>
      <c r="C95" s="24" t="s">
        <v>34</v>
      </c>
      <c r="D95" s="22">
        <v>102187.99</v>
      </c>
      <c r="F95" s="37" t="s">
        <v>33</v>
      </c>
      <c r="G95" s="3">
        <f>SUM(G89:G94)</f>
        <v>197081.59</v>
      </c>
      <c r="H95" s="3">
        <f t="shared" ref="H95:W95" si="55">SUM(H89:H94)</f>
        <v>23188</v>
      </c>
      <c r="I95" s="3">
        <f t="shared" si="55"/>
        <v>199802.72</v>
      </c>
      <c r="J95" s="3">
        <f t="shared" si="55"/>
        <v>19905</v>
      </c>
      <c r="K95" s="3">
        <f t="shared" si="55"/>
        <v>192624</v>
      </c>
      <c r="L95" s="3">
        <f t="shared" si="55"/>
        <v>16890</v>
      </c>
      <c r="M95" s="3"/>
      <c r="N95" s="3"/>
      <c r="O95" s="3">
        <f t="shared" si="55"/>
        <v>183302.71000000002</v>
      </c>
      <c r="P95" s="3">
        <f t="shared" si="55"/>
        <v>19904.86</v>
      </c>
      <c r="Q95" s="3">
        <f t="shared" si="55"/>
        <v>297461</v>
      </c>
      <c r="R95" s="3">
        <f t="shared" si="55"/>
        <v>29037</v>
      </c>
      <c r="S95" s="3">
        <f t="shared" si="55"/>
        <v>210623</v>
      </c>
      <c r="T95" s="3">
        <f t="shared" si="55"/>
        <v>209051</v>
      </c>
      <c r="U95" s="3">
        <f t="shared" si="55"/>
        <v>199483.6</v>
      </c>
      <c r="V95" s="3">
        <f t="shared" si="55"/>
        <v>101095.20999999999</v>
      </c>
      <c r="W95" s="3">
        <f t="shared" si="55"/>
        <v>46554</v>
      </c>
      <c r="X95" s="52">
        <f t="shared" ref="X95:AC95" si="56">SUM(X89:X94)</f>
        <v>3500</v>
      </c>
      <c r="Y95" s="52">
        <f t="shared" si="56"/>
        <v>0</v>
      </c>
      <c r="Z95" s="52">
        <f t="shared" si="56"/>
        <v>27000</v>
      </c>
      <c r="AA95" s="52">
        <f t="shared" si="56"/>
        <v>5139</v>
      </c>
      <c r="AB95" s="52">
        <f t="shared" si="56"/>
        <v>0</v>
      </c>
      <c r="AC95" s="52">
        <f t="shared" si="56"/>
        <v>0</v>
      </c>
    </row>
    <row r="96" spans="1:46" ht="28.8">
      <c r="A96" s="22">
        <v>8</v>
      </c>
      <c r="B96" s="23">
        <v>46081</v>
      </c>
      <c r="C96" s="24" t="s">
        <v>85</v>
      </c>
      <c r="D96" s="22">
        <v>295642</v>
      </c>
      <c r="F96" s="41" t="s">
        <v>35</v>
      </c>
      <c r="G96" s="36">
        <v>210715.22</v>
      </c>
      <c r="H96" s="36">
        <v>23188.68</v>
      </c>
      <c r="I96" s="36">
        <v>199803</v>
      </c>
      <c r="J96" s="36">
        <v>19905</v>
      </c>
      <c r="K96" s="36">
        <v>197624</v>
      </c>
      <c r="L96" s="36">
        <v>19904.86</v>
      </c>
      <c r="M96" s="36"/>
      <c r="N96" s="36"/>
      <c r="O96" s="36">
        <v>183302.71</v>
      </c>
      <c r="P96" s="36">
        <v>19904.86</v>
      </c>
      <c r="Q96" s="36">
        <v>302364.96000000002</v>
      </c>
      <c r="R96" s="36">
        <v>26432.48</v>
      </c>
      <c r="S96" s="36">
        <v>210623.1</v>
      </c>
      <c r="T96" s="36">
        <v>209051</v>
      </c>
      <c r="U96" s="36">
        <v>221779.4</v>
      </c>
      <c r="V96" s="36">
        <v>101095.21</v>
      </c>
      <c r="W96" s="17"/>
      <c r="X96" s="17"/>
      <c r="Y96" s="17"/>
      <c r="Z96" s="17"/>
      <c r="AA96" s="17"/>
      <c r="AB96" s="17"/>
      <c r="AC96" s="17"/>
    </row>
    <row r="97" spans="1:45">
      <c r="A97" s="22">
        <v>9</v>
      </c>
      <c r="B97" s="23">
        <v>46081</v>
      </c>
      <c r="C97" s="24" t="s">
        <v>37</v>
      </c>
      <c r="D97" s="22">
        <v>11375</v>
      </c>
      <c r="F97" s="43" t="s">
        <v>84</v>
      </c>
      <c r="G97" s="51">
        <f t="shared" ref="G97:K97" si="57">(G96-G95)</f>
        <v>13633.630000000005</v>
      </c>
      <c r="H97" s="51">
        <f t="shared" si="57"/>
        <v>0.68000000000029104</v>
      </c>
      <c r="I97" s="51">
        <f t="shared" si="57"/>
        <v>0.27999999999883585</v>
      </c>
      <c r="J97" s="51">
        <f t="shared" si="57"/>
        <v>0</v>
      </c>
      <c r="K97" s="51">
        <f t="shared" si="57"/>
        <v>5000</v>
      </c>
      <c r="L97" s="51">
        <f>(L96-L95)</f>
        <v>3014.8600000000006</v>
      </c>
      <c r="M97" s="51"/>
      <c r="N97" s="51"/>
      <c r="O97" s="51">
        <f>(O96-O95)</f>
        <v>-2.9103830456733704E-11</v>
      </c>
      <c r="P97" s="51">
        <f>(P96-P95)</f>
        <v>0</v>
      </c>
      <c r="Q97" s="51">
        <f t="shared" ref="Q97" si="58">(Q96-Q95)</f>
        <v>4903.960000000021</v>
      </c>
      <c r="R97" s="51">
        <f t="shared" ref="R97" si="59">(R96-R95)</f>
        <v>-2604.5200000000004</v>
      </c>
      <c r="S97" s="51">
        <f>(S96-S95)</f>
        <v>0.10000000000582077</v>
      </c>
      <c r="T97" s="51">
        <f t="shared" ref="T97" si="60">(T96-T95)</f>
        <v>0</v>
      </c>
      <c r="U97" s="51">
        <f t="shared" ref="U97" si="61">(U96-U95)</f>
        <v>22295.799999999988</v>
      </c>
      <c r="V97" s="51">
        <f>(V96-V95)</f>
        <v>1.4551915228366852E-11</v>
      </c>
      <c r="W97" s="28"/>
      <c r="X97" s="28"/>
      <c r="Y97" s="28"/>
      <c r="Z97" s="28"/>
      <c r="AA97" s="28"/>
      <c r="AB97" s="28"/>
      <c r="AC97" s="28"/>
    </row>
    <row r="98" spans="1:45" ht="28.8">
      <c r="A98" s="22">
        <v>10</v>
      </c>
      <c r="B98" s="23">
        <v>46081</v>
      </c>
      <c r="C98" s="24" t="s">
        <v>114</v>
      </c>
      <c r="D98" s="22">
        <v>10000</v>
      </c>
      <c r="F98" s="4" t="s">
        <v>4</v>
      </c>
      <c r="G98" s="4" t="s">
        <v>38</v>
      </c>
      <c r="H98" s="5" t="s">
        <v>39</v>
      </c>
      <c r="I98" s="5" t="s">
        <v>86</v>
      </c>
      <c r="J98" s="5" t="s">
        <v>41</v>
      </c>
      <c r="K98" s="5" t="s">
        <v>42</v>
      </c>
      <c r="L98" s="26" t="s">
        <v>43</v>
      </c>
      <c r="M98" s="5" t="s">
        <v>44</v>
      </c>
      <c r="N98" s="26" t="s">
        <v>45</v>
      </c>
      <c r="O98" s="26" t="s">
        <v>46</v>
      </c>
      <c r="P98" s="26" t="s">
        <v>114</v>
      </c>
      <c r="Q98" s="26" t="s">
        <v>48</v>
      </c>
      <c r="R98" s="26" t="s">
        <v>115</v>
      </c>
      <c r="S98" s="27" t="s">
        <v>50</v>
      </c>
      <c r="T98" s="29" t="s">
        <v>51</v>
      </c>
      <c r="U98" s="107" t="s">
        <v>163</v>
      </c>
      <c r="V98" s="30"/>
      <c r="W98" s="30"/>
      <c r="X98" s="30"/>
      <c r="Y98" s="30"/>
      <c r="Z98" s="30"/>
      <c r="AA98" s="30"/>
      <c r="AB98" s="30"/>
      <c r="AC98" s="30"/>
    </row>
    <row r="99" spans="1:45">
      <c r="A99" s="22">
        <v>11</v>
      </c>
      <c r="B99" s="23">
        <v>46081</v>
      </c>
      <c r="C99" s="24" t="s">
        <v>58</v>
      </c>
      <c r="D99" s="22">
        <v>43000</v>
      </c>
      <c r="F99" s="11" t="s">
        <v>3</v>
      </c>
      <c r="G99" s="16">
        <v>46096</v>
      </c>
      <c r="H99" s="16">
        <v>46096</v>
      </c>
      <c r="I99" s="16">
        <v>46096</v>
      </c>
      <c r="J99" s="16">
        <v>46096</v>
      </c>
      <c r="K99" s="16">
        <v>46096</v>
      </c>
      <c r="L99" s="16">
        <v>46096</v>
      </c>
      <c r="M99" s="16">
        <v>46096</v>
      </c>
      <c r="N99" s="16">
        <v>46096</v>
      </c>
      <c r="O99" s="16">
        <v>46096</v>
      </c>
      <c r="P99" s="16">
        <v>46096</v>
      </c>
      <c r="Q99" s="16">
        <v>46096</v>
      </c>
      <c r="R99" s="16">
        <v>46096</v>
      </c>
      <c r="S99" s="16">
        <v>46096</v>
      </c>
      <c r="T99" s="16">
        <v>46096</v>
      </c>
      <c r="U99" s="105">
        <v>46068</v>
      </c>
      <c r="V99" s="30"/>
      <c r="W99" s="31"/>
      <c r="X99" s="31"/>
      <c r="Y99" s="31"/>
      <c r="Z99" s="31"/>
      <c r="AA99" s="31"/>
      <c r="AB99" s="31"/>
      <c r="AC99" s="31"/>
    </row>
    <row r="100" spans="1:45" ht="15" thickBot="1">
      <c r="A100" s="22">
        <v>12</v>
      </c>
      <c r="B100" s="23">
        <v>46081</v>
      </c>
      <c r="C100" s="24" t="s">
        <v>115</v>
      </c>
      <c r="D100" s="22">
        <v>19026</v>
      </c>
      <c r="F100" s="46" t="s">
        <v>59</v>
      </c>
      <c r="G100" s="46">
        <v>508500</v>
      </c>
      <c r="H100" s="46">
        <v>414856</v>
      </c>
      <c r="I100" s="46">
        <v>295642</v>
      </c>
      <c r="J100" s="46">
        <v>141742</v>
      </c>
      <c r="K100" s="46">
        <v>102187.99</v>
      </c>
      <c r="L100" s="46">
        <v>11375</v>
      </c>
      <c r="M100" s="46">
        <v>10499.99</v>
      </c>
      <c r="N100" s="46">
        <v>8505</v>
      </c>
      <c r="O100" s="46">
        <v>21800</v>
      </c>
      <c r="P100" s="46">
        <v>10000</v>
      </c>
      <c r="Q100" s="46">
        <v>43000</v>
      </c>
      <c r="R100" s="46">
        <v>19026</v>
      </c>
      <c r="S100" s="46">
        <v>299200</v>
      </c>
      <c r="T100" s="46">
        <v>59360</v>
      </c>
      <c r="U100" s="106">
        <v>10800</v>
      </c>
      <c r="V100" s="30"/>
      <c r="W100" s="17"/>
      <c r="X100" s="17"/>
      <c r="Y100" s="17"/>
      <c r="Z100" s="17"/>
      <c r="AA100" s="17"/>
      <c r="AB100" s="17"/>
      <c r="AC100" s="17"/>
    </row>
    <row r="101" spans="1:45" ht="41.4" customHeight="1" thickBot="1">
      <c r="A101" s="22">
        <v>13</v>
      </c>
      <c r="B101" s="23">
        <v>46081</v>
      </c>
      <c r="C101" s="24" t="s">
        <v>108</v>
      </c>
      <c r="D101" s="22">
        <v>59360</v>
      </c>
      <c r="F101" s="53" t="s">
        <v>81</v>
      </c>
      <c r="G101" s="54">
        <f>SUM(G96:V96)</f>
        <v>1945694.48</v>
      </c>
      <c r="I101" s="55" t="s">
        <v>33</v>
      </c>
      <c r="J101" s="56">
        <f>SUM(G95:V95)</f>
        <v>1899449.69</v>
      </c>
      <c r="L101" s="63" t="s">
        <v>77</v>
      </c>
      <c r="M101" s="64">
        <f>(G101-J101)</f>
        <v>46244.790000000037</v>
      </c>
      <c r="O101" s="57" t="s">
        <v>92</v>
      </c>
      <c r="P101" s="58">
        <f>SUM(G100:U100)</f>
        <v>1956493.98</v>
      </c>
      <c r="Q101" s="17"/>
      <c r="R101" s="59" t="s">
        <v>82</v>
      </c>
      <c r="S101" s="60">
        <f>SUM(X95:AC95)</f>
        <v>35639</v>
      </c>
      <c r="T101" s="32"/>
      <c r="U101" s="17"/>
    </row>
    <row r="102" spans="1:45">
      <c r="A102" s="22">
        <v>14</v>
      </c>
      <c r="B102" s="23">
        <v>46081</v>
      </c>
      <c r="C102" s="24" t="s">
        <v>107</v>
      </c>
      <c r="D102" s="22">
        <v>299200</v>
      </c>
    </row>
    <row r="103" spans="1:45" ht="18.600000000000001" thickBot="1">
      <c r="A103" s="120" t="s">
        <v>110</v>
      </c>
      <c r="B103" s="120"/>
      <c r="C103" s="120"/>
      <c r="D103" s="120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7"/>
      <c r="V103" s="7"/>
      <c r="W103" s="7"/>
      <c r="X103" s="7"/>
      <c r="Y103" s="7"/>
      <c r="Z103" s="7"/>
      <c r="AA103" s="115"/>
      <c r="AB103" s="116"/>
      <c r="AC103" s="97"/>
      <c r="AE103" s="117" t="s">
        <v>80</v>
      </c>
      <c r="AF103" s="118"/>
      <c r="AG103" s="118"/>
      <c r="AH103" s="118"/>
      <c r="AI103" s="118"/>
      <c r="AJ103" s="118"/>
      <c r="AK103" s="118"/>
      <c r="AL103" s="118"/>
      <c r="AM103" s="118"/>
      <c r="AN103" s="118"/>
      <c r="AO103" s="118"/>
      <c r="AP103" s="118"/>
      <c r="AQ103" s="118"/>
      <c r="AR103" s="118"/>
      <c r="AS103" s="118"/>
    </row>
    <row r="104" spans="1:45" ht="43.8" thickBot="1">
      <c r="A104" s="8" t="s">
        <v>2</v>
      </c>
      <c r="B104" s="8" t="s">
        <v>3</v>
      </c>
      <c r="C104" s="8" t="s">
        <v>4</v>
      </c>
      <c r="D104" s="8" t="s">
        <v>5</v>
      </c>
      <c r="F104" s="4" t="s">
        <v>6</v>
      </c>
      <c r="G104" s="4" t="s">
        <v>7</v>
      </c>
      <c r="H104" s="4" t="s">
        <v>8</v>
      </c>
      <c r="I104" s="5" t="s">
        <v>9</v>
      </c>
      <c r="J104" s="5" t="s">
        <v>10</v>
      </c>
      <c r="K104" s="5" t="s">
        <v>11</v>
      </c>
      <c r="L104" s="5" t="s">
        <v>12</v>
      </c>
      <c r="M104" s="5" t="s">
        <v>13</v>
      </c>
      <c r="N104" s="5" t="s">
        <v>14</v>
      </c>
      <c r="O104" s="5" t="s">
        <v>15</v>
      </c>
      <c r="P104" s="5" t="s">
        <v>16</v>
      </c>
      <c r="Q104" s="5" t="s">
        <v>17</v>
      </c>
      <c r="R104" s="5" t="s">
        <v>18</v>
      </c>
      <c r="S104" s="5" t="s">
        <v>19</v>
      </c>
      <c r="T104" s="5" t="s">
        <v>20</v>
      </c>
      <c r="U104" s="5" t="s">
        <v>21</v>
      </c>
      <c r="V104" s="5" t="s">
        <v>22</v>
      </c>
      <c r="W104" s="70" t="s">
        <v>24</v>
      </c>
      <c r="X104" s="48" t="s">
        <v>23</v>
      </c>
      <c r="Y104" s="86" t="s">
        <v>105</v>
      </c>
      <c r="Z104" s="48" t="s">
        <v>70</v>
      </c>
      <c r="AA104" s="68" t="s">
        <v>104</v>
      </c>
      <c r="AB104" s="68" t="s">
        <v>113</v>
      </c>
      <c r="AC104" s="68" t="s">
        <v>133</v>
      </c>
      <c r="AE104" s="100" t="s">
        <v>124</v>
      </c>
      <c r="AF104" s="91" t="s">
        <v>7</v>
      </c>
      <c r="AG104" s="91" t="s">
        <v>9</v>
      </c>
      <c r="AH104" s="91" t="s">
        <v>11</v>
      </c>
      <c r="AI104" s="91" t="s">
        <v>15</v>
      </c>
      <c r="AJ104" s="91" t="s">
        <v>17</v>
      </c>
      <c r="AK104" s="91" t="s">
        <v>19</v>
      </c>
      <c r="AL104" s="91" t="s">
        <v>20</v>
      </c>
      <c r="AM104" s="91" t="s">
        <v>21</v>
      </c>
      <c r="AN104" s="91" t="s">
        <v>22</v>
      </c>
      <c r="AO104" s="91" t="s">
        <v>8</v>
      </c>
      <c r="AP104" s="91" t="s">
        <v>10</v>
      </c>
      <c r="AQ104" s="91" t="s">
        <v>125</v>
      </c>
      <c r="AR104" s="91" t="s">
        <v>16</v>
      </c>
      <c r="AS104" s="91" t="s">
        <v>18</v>
      </c>
    </row>
    <row r="105" spans="1:45">
      <c r="A105" s="22">
        <v>1</v>
      </c>
      <c r="B105" s="23">
        <v>46112</v>
      </c>
      <c r="C105" s="24" t="s">
        <v>26</v>
      </c>
      <c r="D105" s="22">
        <v>148965</v>
      </c>
      <c r="F105" s="11" t="s">
        <v>27</v>
      </c>
      <c r="G105" s="11">
        <v>219073.14</v>
      </c>
      <c r="H105" s="12">
        <v>21891</v>
      </c>
      <c r="I105" s="11">
        <v>178250.21</v>
      </c>
      <c r="J105" s="12">
        <v>18764</v>
      </c>
      <c r="K105" s="11">
        <v>207035</v>
      </c>
      <c r="L105" s="11">
        <f>SUM(M105:N105)</f>
        <v>18763.86</v>
      </c>
      <c r="M105" s="11">
        <v>15636.86</v>
      </c>
      <c r="N105" s="12">
        <v>3127</v>
      </c>
      <c r="O105" s="11">
        <v>188261.21</v>
      </c>
      <c r="P105" s="11">
        <v>18763.86</v>
      </c>
      <c r="Q105" s="11">
        <v>307042</v>
      </c>
      <c r="R105" s="11">
        <v>25018.14</v>
      </c>
      <c r="S105" s="11">
        <v>216551.5</v>
      </c>
      <c r="T105" s="11">
        <v>218744</v>
      </c>
      <c r="U105" s="11">
        <v>231055</v>
      </c>
      <c r="V105" s="11">
        <v>106542.53</v>
      </c>
      <c r="W105" s="72">
        <v>21891</v>
      </c>
      <c r="X105" s="74">
        <v>3000</v>
      </c>
      <c r="Y105" s="74">
        <v>8000</v>
      </c>
      <c r="Z105" s="11">
        <v>3000</v>
      </c>
      <c r="AA105" s="75">
        <v>2100</v>
      </c>
      <c r="AB105" s="75">
        <v>600</v>
      </c>
      <c r="AC105" s="75">
        <v>1500</v>
      </c>
      <c r="AD105" s="33" t="s">
        <v>78</v>
      </c>
      <c r="AE105" s="50" t="s">
        <v>88</v>
      </c>
      <c r="AF105" s="90"/>
      <c r="AG105" s="90"/>
      <c r="AH105" s="90"/>
      <c r="AI105" s="90">
        <v>1000</v>
      </c>
      <c r="AJ105" s="90"/>
      <c r="AK105" s="90"/>
      <c r="AL105" s="90"/>
      <c r="AM105" s="90"/>
      <c r="AN105" s="90"/>
      <c r="AO105" s="90"/>
      <c r="AP105" s="90"/>
      <c r="AQ105" s="90"/>
      <c r="AR105" s="90"/>
      <c r="AS105" s="90"/>
    </row>
    <row r="106" spans="1:45">
      <c r="A106" s="22">
        <v>2</v>
      </c>
      <c r="B106" s="23">
        <v>46112</v>
      </c>
      <c r="C106" s="24" t="s">
        <v>28</v>
      </c>
      <c r="D106" s="22">
        <v>410452</v>
      </c>
      <c r="F106" s="11" t="s">
        <v>27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72">
        <v>18764</v>
      </c>
      <c r="X106" s="74">
        <v>500</v>
      </c>
      <c r="Y106" s="89"/>
      <c r="Z106" s="11">
        <v>6000</v>
      </c>
      <c r="AA106" s="75">
        <v>1440</v>
      </c>
      <c r="AB106" s="75">
        <v>500</v>
      </c>
      <c r="AC106" s="75"/>
      <c r="AD106" s="34" t="s">
        <v>79</v>
      </c>
      <c r="AE106" s="50" t="s">
        <v>87</v>
      </c>
      <c r="AF106" s="90"/>
      <c r="AG106" s="90"/>
      <c r="AH106" s="90"/>
      <c r="AI106" s="90"/>
      <c r="AJ106" s="90">
        <v>2233</v>
      </c>
      <c r="AK106" s="90"/>
      <c r="AL106" s="90"/>
      <c r="AM106" s="90"/>
      <c r="AN106" s="90"/>
      <c r="AO106" s="90"/>
      <c r="AP106" s="90"/>
      <c r="AQ106" s="90"/>
      <c r="AR106" s="90"/>
      <c r="AS106" s="90"/>
    </row>
    <row r="107" spans="1:45">
      <c r="A107" s="22">
        <v>3</v>
      </c>
      <c r="B107" s="23">
        <v>46112</v>
      </c>
      <c r="C107" s="24" t="s">
        <v>29</v>
      </c>
      <c r="D107" s="22">
        <v>584250</v>
      </c>
      <c r="F107" s="11" t="s">
        <v>27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72">
        <v>3127</v>
      </c>
      <c r="X107" s="74"/>
      <c r="Y107" s="89"/>
      <c r="Z107" s="11">
        <v>6000</v>
      </c>
      <c r="AA107" s="75">
        <v>1200</v>
      </c>
      <c r="AB107" s="75"/>
      <c r="AC107" s="75"/>
      <c r="AE107" s="50" t="s">
        <v>116</v>
      </c>
      <c r="AF107" s="90"/>
      <c r="AG107" s="90"/>
      <c r="AH107" s="90"/>
      <c r="AI107" s="90"/>
      <c r="AJ107" s="90"/>
      <c r="AK107" s="90"/>
      <c r="AL107" s="90"/>
      <c r="AM107" s="90"/>
      <c r="AN107" s="90"/>
      <c r="AO107" s="90"/>
      <c r="AP107" s="90"/>
      <c r="AQ107" s="90"/>
      <c r="AR107" s="90"/>
      <c r="AS107" s="90"/>
    </row>
    <row r="108" spans="1:45" ht="15" thickBot="1">
      <c r="A108" s="22">
        <v>4</v>
      </c>
      <c r="B108" s="23">
        <v>46112</v>
      </c>
      <c r="C108" s="24" t="s">
        <v>30</v>
      </c>
      <c r="D108" s="22">
        <v>10710</v>
      </c>
      <c r="F108" s="11" t="s">
        <v>27</v>
      </c>
      <c r="G108" s="2"/>
      <c r="H108" s="2"/>
      <c r="I108" s="11"/>
      <c r="J108" s="2"/>
      <c r="K108" s="2"/>
      <c r="L108" s="2"/>
      <c r="M108" s="2"/>
      <c r="N108" s="2"/>
      <c r="O108" s="11"/>
      <c r="P108" s="2"/>
      <c r="Q108" s="2"/>
      <c r="R108" s="2"/>
      <c r="S108" s="2"/>
      <c r="T108" s="11"/>
      <c r="U108" s="2"/>
      <c r="V108" s="2"/>
      <c r="W108" s="85"/>
      <c r="X108" s="74"/>
      <c r="Y108" s="89"/>
      <c r="Z108" s="11"/>
      <c r="AA108" s="75"/>
      <c r="AB108" s="75"/>
      <c r="AC108" s="75"/>
      <c r="AE108" s="99" t="s">
        <v>117</v>
      </c>
      <c r="AF108" s="92"/>
      <c r="AG108" s="92"/>
      <c r="AH108" s="92"/>
      <c r="AI108" s="92"/>
      <c r="AJ108" s="90"/>
      <c r="AK108" s="90"/>
      <c r="AL108" s="90"/>
      <c r="AM108" s="90"/>
      <c r="AN108" s="90"/>
      <c r="AO108" s="90"/>
      <c r="AP108" s="90"/>
      <c r="AQ108" s="90"/>
      <c r="AR108" s="90"/>
      <c r="AS108" s="90"/>
    </row>
    <row r="109" spans="1:45" ht="15" thickBot="1">
      <c r="A109" s="22">
        <v>5</v>
      </c>
      <c r="B109" s="23">
        <v>46112</v>
      </c>
      <c r="C109" s="24" t="s">
        <v>31</v>
      </c>
      <c r="D109" s="22">
        <v>21800</v>
      </c>
      <c r="F109" s="11" t="s">
        <v>27</v>
      </c>
      <c r="G109" s="2"/>
      <c r="H109" s="2"/>
      <c r="I109" s="11"/>
      <c r="J109" s="2"/>
      <c r="K109" s="2"/>
      <c r="L109" s="2"/>
      <c r="M109" s="2"/>
      <c r="N109" s="2"/>
      <c r="O109" s="11"/>
      <c r="P109" s="2"/>
      <c r="Q109" s="2"/>
      <c r="R109" s="2"/>
      <c r="S109" s="2"/>
      <c r="T109" s="11"/>
      <c r="U109" s="2"/>
      <c r="V109" s="2"/>
      <c r="W109" s="85"/>
      <c r="X109" s="74"/>
      <c r="Y109" s="89"/>
      <c r="Z109" s="11"/>
      <c r="AA109" s="75"/>
      <c r="AB109" s="75"/>
      <c r="AC109" s="75"/>
      <c r="AD109" s="93" t="s">
        <v>89</v>
      </c>
      <c r="AE109" s="94">
        <f>SUM(AF109:AS109)</f>
        <v>3233</v>
      </c>
      <c r="AF109" s="95">
        <f t="shared" ref="AF109:AG109" si="62">SUM(AF105:AF108)</f>
        <v>0</v>
      </c>
      <c r="AG109" s="95">
        <f t="shared" si="62"/>
        <v>0</v>
      </c>
      <c r="AH109" s="95">
        <f>SUM(AH105:AH108)</f>
        <v>0</v>
      </c>
      <c r="AI109" s="95">
        <f t="shared" ref="AI109:AS109" si="63">SUM(AI105:AI108)</f>
        <v>1000</v>
      </c>
      <c r="AJ109" s="95">
        <f t="shared" si="63"/>
        <v>2233</v>
      </c>
      <c r="AK109" s="95">
        <f t="shared" si="63"/>
        <v>0</v>
      </c>
      <c r="AL109" s="95">
        <f t="shared" si="63"/>
        <v>0</v>
      </c>
      <c r="AM109" s="95">
        <f t="shared" si="63"/>
        <v>0</v>
      </c>
      <c r="AN109" s="95">
        <f t="shared" si="63"/>
        <v>0</v>
      </c>
      <c r="AO109" s="95">
        <f t="shared" si="63"/>
        <v>0</v>
      </c>
      <c r="AP109" s="95">
        <f t="shared" si="63"/>
        <v>0</v>
      </c>
      <c r="AQ109" s="95">
        <f t="shared" si="63"/>
        <v>0</v>
      </c>
      <c r="AR109" s="95">
        <f t="shared" si="63"/>
        <v>0</v>
      </c>
      <c r="AS109" s="95">
        <f t="shared" si="63"/>
        <v>0</v>
      </c>
    </row>
    <row r="110" spans="1:45" ht="15" thickBot="1">
      <c r="A110" s="22">
        <v>6</v>
      </c>
      <c r="B110" s="23">
        <v>46112</v>
      </c>
      <c r="C110" s="24" t="s">
        <v>32</v>
      </c>
      <c r="D110" s="22">
        <v>10499.99</v>
      </c>
      <c r="F110" s="11" t="s">
        <v>27</v>
      </c>
      <c r="G110" s="2"/>
      <c r="H110" s="2"/>
      <c r="I110" s="11"/>
      <c r="J110" s="2"/>
      <c r="K110" s="2"/>
      <c r="L110" s="2"/>
      <c r="M110" s="2"/>
      <c r="N110" s="2"/>
      <c r="O110" s="11"/>
      <c r="P110" s="2"/>
      <c r="Q110" s="2"/>
      <c r="R110" s="2"/>
      <c r="S110" s="2"/>
      <c r="T110" s="11"/>
      <c r="U110" s="2"/>
      <c r="V110" s="2"/>
      <c r="W110" s="85"/>
      <c r="X110" s="74"/>
      <c r="Y110" s="89"/>
      <c r="Z110" s="11"/>
      <c r="AA110" s="75"/>
      <c r="AB110" s="75"/>
      <c r="AC110" s="75"/>
      <c r="AI110" s="103" t="s">
        <v>123</v>
      </c>
      <c r="AJ110" s="103" t="s">
        <v>127</v>
      </c>
    </row>
    <row r="111" spans="1:45" ht="29.4" thickBot="1">
      <c r="A111" s="22">
        <v>7</v>
      </c>
      <c r="B111" s="23">
        <v>46112</v>
      </c>
      <c r="C111" s="24" t="s">
        <v>34</v>
      </c>
      <c r="D111" s="22">
        <v>102187.99</v>
      </c>
      <c r="F111" s="37" t="s">
        <v>33</v>
      </c>
      <c r="G111" s="3">
        <f>SUM(G105:G110)</f>
        <v>219073.14</v>
      </c>
      <c r="H111" s="3">
        <f t="shared" ref="H111:W111" si="64">SUM(H105:H110)</f>
        <v>21891</v>
      </c>
      <c r="I111" s="3">
        <f>SUM(I105:I110)</f>
        <v>178250.21</v>
      </c>
      <c r="J111" s="3">
        <f t="shared" si="64"/>
        <v>18764</v>
      </c>
      <c r="K111" s="3">
        <f t="shared" si="64"/>
        <v>207035</v>
      </c>
      <c r="L111" s="3">
        <f t="shared" si="64"/>
        <v>18763.86</v>
      </c>
      <c r="M111" s="3"/>
      <c r="N111" s="3"/>
      <c r="O111" s="3">
        <f t="shared" si="64"/>
        <v>188261.21</v>
      </c>
      <c r="P111" s="3">
        <f t="shared" si="64"/>
        <v>18763.86</v>
      </c>
      <c r="Q111" s="3">
        <f t="shared" si="64"/>
        <v>307042</v>
      </c>
      <c r="R111" s="3">
        <f t="shared" si="64"/>
        <v>25018.14</v>
      </c>
      <c r="S111" s="3">
        <f t="shared" si="64"/>
        <v>216551.5</v>
      </c>
      <c r="T111" s="3">
        <f t="shared" si="64"/>
        <v>218744</v>
      </c>
      <c r="U111" s="3">
        <f t="shared" si="64"/>
        <v>231055</v>
      </c>
      <c r="V111" s="3">
        <f>SUM(V105:V110)</f>
        <v>106542.53</v>
      </c>
      <c r="W111" s="3">
        <f t="shared" si="64"/>
        <v>43782</v>
      </c>
      <c r="X111" s="52">
        <f t="shared" ref="X111:AC111" si="65">SUM(X105:X110)</f>
        <v>3500</v>
      </c>
      <c r="Y111" s="52">
        <f t="shared" si="65"/>
        <v>8000</v>
      </c>
      <c r="Z111" s="52">
        <f t="shared" si="65"/>
        <v>15000</v>
      </c>
      <c r="AA111" s="52">
        <f t="shared" si="65"/>
        <v>4740</v>
      </c>
      <c r="AB111" s="52">
        <f t="shared" si="65"/>
        <v>1100</v>
      </c>
      <c r="AC111" s="52">
        <f t="shared" si="65"/>
        <v>1500</v>
      </c>
    </row>
    <row r="112" spans="1:45" ht="30" customHeight="1">
      <c r="A112" s="22">
        <v>8</v>
      </c>
      <c r="B112" s="23">
        <v>46112</v>
      </c>
      <c r="C112" s="24" t="s">
        <v>85</v>
      </c>
      <c r="D112" s="22">
        <v>251784</v>
      </c>
      <c r="F112" s="41" t="s">
        <v>35</v>
      </c>
      <c r="G112" s="36">
        <v>219073.14</v>
      </c>
      <c r="H112" s="36">
        <v>21891</v>
      </c>
      <c r="I112" s="36">
        <v>207034.71</v>
      </c>
      <c r="J112" s="36">
        <v>18764</v>
      </c>
      <c r="K112" s="36">
        <v>207035</v>
      </c>
      <c r="L112" s="36">
        <v>18763.86</v>
      </c>
      <c r="M112" s="36"/>
      <c r="N112" s="36"/>
      <c r="O112" s="36">
        <v>189261.21</v>
      </c>
      <c r="P112" s="36">
        <v>18763.86</v>
      </c>
      <c r="Q112" s="36">
        <v>309275.55</v>
      </c>
      <c r="R112" s="36">
        <v>25018.14</v>
      </c>
      <c r="S112" s="36">
        <v>216551.6</v>
      </c>
      <c r="T112" s="36">
        <v>218744</v>
      </c>
      <c r="U112" s="36">
        <v>231055.31</v>
      </c>
      <c r="V112" s="36">
        <v>106542.53</v>
      </c>
      <c r="W112" s="17"/>
      <c r="X112" s="17"/>
      <c r="Y112" s="17"/>
      <c r="Z112" s="17"/>
      <c r="AA112" s="17"/>
      <c r="AB112" s="17"/>
      <c r="AC112" s="17"/>
    </row>
    <row r="113" spans="1:45">
      <c r="A113" s="22">
        <v>9</v>
      </c>
      <c r="B113" s="23">
        <v>46112</v>
      </c>
      <c r="C113" s="24" t="s">
        <v>37</v>
      </c>
      <c r="D113" s="22">
        <v>3425</v>
      </c>
      <c r="F113" s="43" t="s">
        <v>84</v>
      </c>
      <c r="G113" s="51">
        <f t="shared" ref="G113:L113" si="66">(G112-G111)</f>
        <v>0</v>
      </c>
      <c r="H113" s="51">
        <f t="shared" si="66"/>
        <v>0</v>
      </c>
      <c r="I113" s="51">
        <f t="shared" si="66"/>
        <v>28784.5</v>
      </c>
      <c r="J113" s="51">
        <f t="shared" si="66"/>
        <v>0</v>
      </c>
      <c r="K113" s="51">
        <f t="shared" si="66"/>
        <v>0</v>
      </c>
      <c r="L113" s="51">
        <f t="shared" si="66"/>
        <v>0</v>
      </c>
      <c r="M113" s="51"/>
      <c r="N113" s="51"/>
      <c r="O113" s="51">
        <f>(O112-O111)</f>
        <v>1000</v>
      </c>
      <c r="P113" s="51">
        <f>(P112-P111)</f>
        <v>0</v>
      </c>
      <c r="Q113" s="51">
        <f t="shared" ref="Q113:R113" si="67">(Q112-Q111)</f>
        <v>2233.5499999999884</v>
      </c>
      <c r="R113" s="51">
        <f t="shared" si="67"/>
        <v>0</v>
      </c>
      <c r="S113" s="51">
        <f>(S112-S111)</f>
        <v>0.10000000000582077</v>
      </c>
      <c r="T113" s="51">
        <f t="shared" ref="T113:U113" si="68">(T112-T111)</f>
        <v>0</v>
      </c>
      <c r="U113" s="51">
        <f t="shared" si="68"/>
        <v>0.30999999999767169</v>
      </c>
      <c r="V113" s="51">
        <f>(V112-V111)</f>
        <v>0</v>
      </c>
      <c r="W113" s="28"/>
      <c r="X113" s="28"/>
      <c r="Y113" s="28"/>
      <c r="Z113" s="28"/>
      <c r="AA113" s="28"/>
      <c r="AB113" s="28"/>
      <c r="AC113" s="28"/>
    </row>
    <row r="114" spans="1:45" ht="28.8">
      <c r="A114" s="22">
        <v>10</v>
      </c>
      <c r="B114" s="23">
        <v>46112</v>
      </c>
      <c r="C114" s="24" t="s">
        <v>114</v>
      </c>
      <c r="D114" s="22">
        <v>30000</v>
      </c>
      <c r="F114" s="4" t="s">
        <v>4</v>
      </c>
      <c r="G114" s="4" t="s">
        <v>38</v>
      </c>
      <c r="H114" s="5" t="s">
        <v>39</v>
      </c>
      <c r="I114" s="5" t="s">
        <v>86</v>
      </c>
      <c r="J114" s="5" t="s">
        <v>41</v>
      </c>
      <c r="K114" s="5" t="s">
        <v>42</v>
      </c>
      <c r="L114" s="26" t="s">
        <v>43</v>
      </c>
      <c r="M114" s="5" t="s">
        <v>44</v>
      </c>
      <c r="N114" s="26" t="s">
        <v>45</v>
      </c>
      <c r="O114" s="26" t="s">
        <v>46</v>
      </c>
      <c r="P114" s="26" t="s">
        <v>114</v>
      </c>
      <c r="Q114" s="26" t="s">
        <v>48</v>
      </c>
      <c r="R114" s="26" t="s">
        <v>115</v>
      </c>
      <c r="S114" s="27" t="s">
        <v>50</v>
      </c>
      <c r="T114" s="29" t="s">
        <v>51</v>
      </c>
      <c r="U114" s="29" t="s">
        <v>121</v>
      </c>
      <c r="V114" s="29" t="s">
        <v>122</v>
      </c>
      <c r="W114" s="30"/>
      <c r="X114" s="30"/>
      <c r="Y114" s="30"/>
      <c r="Z114" s="30"/>
      <c r="AA114" s="30"/>
      <c r="AB114" s="30"/>
      <c r="AC114" s="30"/>
    </row>
    <row r="115" spans="1:45">
      <c r="A115" s="22">
        <v>11</v>
      </c>
      <c r="B115" s="23">
        <v>46112</v>
      </c>
      <c r="C115" s="24" t="s">
        <v>115</v>
      </c>
      <c r="D115" s="22">
        <v>15789</v>
      </c>
      <c r="F115" s="11" t="s">
        <v>3</v>
      </c>
      <c r="G115" s="16">
        <v>46127</v>
      </c>
      <c r="H115" s="16">
        <v>46127</v>
      </c>
      <c r="I115" s="16">
        <v>46127</v>
      </c>
      <c r="J115" s="16">
        <v>46127</v>
      </c>
      <c r="K115" s="16">
        <v>46127</v>
      </c>
      <c r="L115" s="16">
        <v>46127</v>
      </c>
      <c r="M115" s="16">
        <v>46127</v>
      </c>
      <c r="N115" s="16">
        <v>46127</v>
      </c>
      <c r="O115" s="16">
        <v>46127</v>
      </c>
      <c r="P115" s="16">
        <v>46127</v>
      </c>
      <c r="Q115" s="16">
        <v>46127</v>
      </c>
      <c r="R115" s="16">
        <v>46127</v>
      </c>
      <c r="S115" s="16">
        <v>46127</v>
      </c>
      <c r="T115" s="16">
        <v>46127</v>
      </c>
      <c r="U115" s="16">
        <v>46127</v>
      </c>
      <c r="V115" s="16">
        <v>46127</v>
      </c>
      <c r="W115" s="31"/>
      <c r="X115" s="31"/>
      <c r="Y115" s="31"/>
      <c r="Z115" s="31"/>
      <c r="AA115" s="31"/>
      <c r="AB115" s="31"/>
      <c r="AC115" s="31"/>
    </row>
    <row r="116" spans="1:45" ht="15" thickBot="1">
      <c r="A116" s="22">
        <v>12</v>
      </c>
      <c r="B116" s="23">
        <v>46112</v>
      </c>
      <c r="C116" s="24" t="s">
        <v>111</v>
      </c>
      <c r="D116" s="22">
        <v>56470</v>
      </c>
      <c r="F116" s="46" t="s">
        <v>59</v>
      </c>
      <c r="G116" s="46">
        <v>584250</v>
      </c>
      <c r="H116" s="46">
        <v>410452</v>
      </c>
      <c r="I116" s="46">
        <v>251784</v>
      </c>
      <c r="J116" s="46">
        <v>148965</v>
      </c>
      <c r="K116" s="46">
        <v>102187.99</v>
      </c>
      <c r="L116" s="46">
        <v>3425</v>
      </c>
      <c r="M116" s="46">
        <v>10499.99</v>
      </c>
      <c r="N116" s="46">
        <v>10710</v>
      </c>
      <c r="O116" s="46">
        <v>21800</v>
      </c>
      <c r="P116" s="46">
        <v>30000</v>
      </c>
      <c r="Q116" s="46"/>
      <c r="R116" s="46">
        <v>15789</v>
      </c>
      <c r="S116" s="46">
        <v>323670</v>
      </c>
      <c r="T116" s="46">
        <v>56470</v>
      </c>
      <c r="U116" s="46">
        <v>28535</v>
      </c>
      <c r="V116" s="46">
        <v>6000</v>
      </c>
      <c r="W116" s="17"/>
      <c r="X116" s="17"/>
      <c r="Y116" s="17"/>
      <c r="Z116" s="17"/>
      <c r="AA116" s="17"/>
      <c r="AB116" s="17"/>
      <c r="AC116" s="17"/>
    </row>
    <row r="117" spans="1:45" ht="43.8" thickBot="1">
      <c r="A117" s="22">
        <v>13</v>
      </c>
      <c r="B117" s="23">
        <v>46112</v>
      </c>
      <c r="C117" s="24" t="s">
        <v>112</v>
      </c>
      <c r="D117" s="22">
        <v>323670</v>
      </c>
      <c r="F117" s="53" t="s">
        <v>81</v>
      </c>
      <c r="G117" s="54">
        <f>SUM(G112:V112)</f>
        <v>2007773.91</v>
      </c>
      <c r="I117" s="55" t="s">
        <v>33</v>
      </c>
      <c r="J117" s="56">
        <f>SUM(G111:V111)</f>
        <v>1975755.4499999997</v>
      </c>
      <c r="L117" s="63" t="s">
        <v>77</v>
      </c>
      <c r="M117" s="64">
        <f>(G117-J117)</f>
        <v>32018.460000000196</v>
      </c>
      <c r="O117" s="57" t="s">
        <v>92</v>
      </c>
      <c r="P117" s="58">
        <f>SUM(G116:U116)</f>
        <v>1998537.98</v>
      </c>
      <c r="Q117" s="17"/>
      <c r="R117" s="59" t="s">
        <v>82</v>
      </c>
      <c r="S117" s="60">
        <f>SUM(X111:AC111)</f>
        <v>33840</v>
      </c>
      <c r="T117" s="32"/>
      <c r="U117" s="17"/>
    </row>
    <row r="118" spans="1:45">
      <c r="A118" s="22">
        <v>14</v>
      </c>
      <c r="B118" s="23">
        <v>46112</v>
      </c>
      <c r="C118" s="24" t="s">
        <v>122</v>
      </c>
      <c r="D118" s="22">
        <v>6000</v>
      </c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17"/>
    </row>
    <row r="119" spans="1:45">
      <c r="A119" s="22">
        <v>15</v>
      </c>
      <c r="B119" s="23">
        <v>46112</v>
      </c>
      <c r="C119" s="24" t="s">
        <v>119</v>
      </c>
      <c r="D119" s="22">
        <v>28535</v>
      </c>
    </row>
    <row r="120" spans="1:45" ht="18.600000000000001" thickBot="1">
      <c r="A120" s="120" t="s">
        <v>120</v>
      </c>
      <c r="B120" s="120"/>
      <c r="C120" s="120"/>
      <c r="D120" s="120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7"/>
      <c r="V120" s="7"/>
      <c r="W120" s="7"/>
      <c r="X120" s="7"/>
      <c r="Y120" s="7"/>
      <c r="Z120" s="7"/>
      <c r="AA120" s="115"/>
      <c r="AB120" s="116"/>
      <c r="AC120" s="97"/>
      <c r="AE120" s="117" t="s">
        <v>80</v>
      </c>
      <c r="AF120" s="118"/>
      <c r="AG120" s="118"/>
      <c r="AH120" s="118"/>
      <c r="AI120" s="118"/>
      <c r="AJ120" s="118"/>
      <c r="AK120" s="118"/>
      <c r="AL120" s="118"/>
      <c r="AM120" s="118"/>
      <c r="AN120" s="118"/>
      <c r="AO120" s="118"/>
      <c r="AP120" s="118"/>
      <c r="AQ120" s="118"/>
      <c r="AR120" s="118"/>
      <c r="AS120" s="118"/>
    </row>
    <row r="121" spans="1:45" ht="43.8" thickBot="1">
      <c r="A121" s="8" t="s">
        <v>2</v>
      </c>
      <c r="B121" s="8" t="s">
        <v>3</v>
      </c>
      <c r="C121" s="8" t="s">
        <v>4</v>
      </c>
      <c r="D121" s="8" t="s">
        <v>5</v>
      </c>
      <c r="F121" s="4" t="s">
        <v>6</v>
      </c>
      <c r="G121" s="4" t="s">
        <v>7</v>
      </c>
      <c r="H121" s="4" t="s">
        <v>8</v>
      </c>
      <c r="I121" s="5" t="s">
        <v>9</v>
      </c>
      <c r="J121" s="5" t="s">
        <v>10</v>
      </c>
      <c r="K121" s="5" t="s">
        <v>11</v>
      </c>
      <c r="L121" s="5" t="s">
        <v>12</v>
      </c>
      <c r="M121" s="5" t="s">
        <v>13</v>
      </c>
      <c r="N121" s="5" t="s">
        <v>14</v>
      </c>
      <c r="O121" s="5" t="s">
        <v>15</v>
      </c>
      <c r="P121" s="5" t="s">
        <v>16</v>
      </c>
      <c r="Q121" s="5" t="s">
        <v>17</v>
      </c>
      <c r="R121" s="5" t="s">
        <v>18</v>
      </c>
      <c r="S121" s="5" t="s">
        <v>19</v>
      </c>
      <c r="T121" s="5" t="s">
        <v>20</v>
      </c>
      <c r="U121" s="5" t="s">
        <v>21</v>
      </c>
      <c r="V121" s="5" t="s">
        <v>22</v>
      </c>
      <c r="W121" s="70" t="s">
        <v>24</v>
      </c>
      <c r="X121" s="48" t="s">
        <v>23</v>
      </c>
      <c r="Y121" s="86" t="s">
        <v>105</v>
      </c>
      <c r="Z121" s="48" t="s">
        <v>70</v>
      </c>
      <c r="AA121" s="68" t="s">
        <v>104</v>
      </c>
      <c r="AB121" s="68" t="s">
        <v>113</v>
      </c>
      <c r="AC121" s="68" t="s">
        <v>133</v>
      </c>
      <c r="AE121" s="100" t="s">
        <v>124</v>
      </c>
      <c r="AF121" s="91" t="s">
        <v>7</v>
      </c>
      <c r="AG121" s="91" t="s">
        <v>9</v>
      </c>
      <c r="AH121" s="91" t="s">
        <v>11</v>
      </c>
      <c r="AI121" s="91" t="s">
        <v>15</v>
      </c>
      <c r="AJ121" s="91" t="s">
        <v>17</v>
      </c>
      <c r="AK121" s="91" t="s">
        <v>19</v>
      </c>
      <c r="AL121" s="91" t="s">
        <v>20</v>
      </c>
      <c r="AM121" s="91" t="s">
        <v>21</v>
      </c>
      <c r="AN121" s="91" t="s">
        <v>22</v>
      </c>
      <c r="AO121" s="91" t="s">
        <v>8</v>
      </c>
      <c r="AP121" s="91" t="s">
        <v>10</v>
      </c>
      <c r="AQ121" s="91" t="s">
        <v>125</v>
      </c>
      <c r="AR121" s="91" t="s">
        <v>16</v>
      </c>
      <c r="AS121" s="91" t="s">
        <v>18</v>
      </c>
    </row>
    <row r="122" spans="1:45">
      <c r="A122" s="22">
        <v>1</v>
      </c>
      <c r="B122" s="23">
        <v>46142</v>
      </c>
      <c r="C122" s="24" t="s">
        <v>26</v>
      </c>
      <c r="D122" s="22">
        <v>145966</v>
      </c>
      <c r="F122" s="11" t="s">
        <v>27</v>
      </c>
      <c r="G122" s="11">
        <v>228066</v>
      </c>
      <c r="H122" s="12">
        <v>21920</v>
      </c>
      <c r="I122" s="11">
        <v>218746</v>
      </c>
      <c r="J122" s="12">
        <v>18788</v>
      </c>
      <c r="K122" s="11">
        <v>217613</v>
      </c>
      <c r="L122" s="11">
        <f>SUM(M122:N122)</f>
        <v>9567.7999999999993</v>
      </c>
      <c r="M122" s="11">
        <v>6436.8</v>
      </c>
      <c r="N122" s="12">
        <v>3131</v>
      </c>
      <c r="O122" s="11">
        <v>113337.93</v>
      </c>
      <c r="P122" s="11">
        <v>7724.21</v>
      </c>
      <c r="Q122" s="11">
        <v>329521</v>
      </c>
      <c r="R122" s="11">
        <v>10280.94</v>
      </c>
      <c r="S122" s="11">
        <v>252337.7</v>
      </c>
      <c r="T122" s="11">
        <v>235638</v>
      </c>
      <c r="U122" s="11">
        <v>269705.38</v>
      </c>
      <c r="V122" s="11">
        <v>109038</v>
      </c>
      <c r="W122" s="72">
        <v>21920</v>
      </c>
      <c r="X122" s="74">
        <v>500</v>
      </c>
      <c r="Y122" s="74">
        <v>5600</v>
      </c>
      <c r="Z122" s="11">
        <v>8000</v>
      </c>
      <c r="AA122" s="75">
        <v>1140</v>
      </c>
      <c r="AB122" s="75">
        <v>500</v>
      </c>
      <c r="AC122" s="75">
        <v>2000</v>
      </c>
      <c r="AD122" s="33" t="s">
        <v>78</v>
      </c>
      <c r="AE122" s="50" t="s">
        <v>88</v>
      </c>
      <c r="AF122" s="90">
        <v>2200</v>
      </c>
      <c r="AG122" s="90"/>
      <c r="AH122" s="90"/>
      <c r="AI122" s="90"/>
      <c r="AJ122" s="90"/>
      <c r="AK122" s="90"/>
      <c r="AL122" s="90"/>
      <c r="AM122" s="90"/>
      <c r="AN122" s="90"/>
      <c r="AO122" s="90"/>
      <c r="AP122" s="90"/>
      <c r="AQ122" s="90"/>
      <c r="AR122" s="90"/>
      <c r="AS122" s="90"/>
    </row>
    <row r="123" spans="1:45">
      <c r="A123" s="22">
        <v>2</v>
      </c>
      <c r="B123" s="23">
        <v>46142</v>
      </c>
      <c r="C123" s="24" t="s">
        <v>28</v>
      </c>
      <c r="D123" s="22">
        <v>377130</v>
      </c>
      <c r="F123" s="11" t="s">
        <v>27</v>
      </c>
      <c r="G123" s="11">
        <v>13633.63</v>
      </c>
      <c r="H123" s="11"/>
      <c r="I123" s="11"/>
      <c r="J123" s="11"/>
      <c r="K123" s="11"/>
      <c r="L123" s="11">
        <f>SUM(M123:N123)</f>
        <v>3582</v>
      </c>
      <c r="M123" s="11">
        <v>3582</v>
      </c>
      <c r="N123" s="11"/>
      <c r="O123" s="11">
        <v>58834</v>
      </c>
      <c r="P123" s="11">
        <v>4298</v>
      </c>
      <c r="Q123" s="11"/>
      <c r="R123" s="11">
        <v>5750</v>
      </c>
      <c r="S123" s="11"/>
      <c r="T123" s="11">
        <v>15000</v>
      </c>
      <c r="U123" s="11"/>
      <c r="V123" s="11">
        <v>4434.21</v>
      </c>
      <c r="W123" s="72">
        <v>18788</v>
      </c>
      <c r="X123" s="74"/>
      <c r="Y123" s="89"/>
      <c r="Z123" s="11">
        <v>6000</v>
      </c>
      <c r="AA123" s="75">
        <v>1800</v>
      </c>
      <c r="AB123" s="75"/>
      <c r="AC123" s="75">
        <v>4000</v>
      </c>
      <c r="AD123" s="34" t="s">
        <v>79</v>
      </c>
      <c r="AE123" s="50" t="s">
        <v>87</v>
      </c>
      <c r="AF123" s="90">
        <v>1595</v>
      </c>
      <c r="AG123" s="90"/>
      <c r="AH123" s="90"/>
      <c r="AI123" s="90"/>
      <c r="AJ123" s="90"/>
      <c r="AK123" s="90"/>
      <c r="AL123" s="90"/>
      <c r="AM123" s="90"/>
      <c r="AN123" s="90"/>
      <c r="AO123" s="90"/>
      <c r="AP123" s="90"/>
      <c r="AQ123" s="90"/>
      <c r="AR123" s="90"/>
      <c r="AS123" s="90"/>
    </row>
    <row r="124" spans="1:45">
      <c r="A124" s="22">
        <v>3</v>
      </c>
      <c r="B124" s="23">
        <v>46142</v>
      </c>
      <c r="C124" s="24" t="s">
        <v>29</v>
      </c>
      <c r="D124" s="22">
        <v>589500</v>
      </c>
      <c r="F124" s="11" t="s">
        <v>27</v>
      </c>
      <c r="G124" s="11"/>
      <c r="H124" s="11"/>
      <c r="I124" s="11"/>
      <c r="J124" s="11"/>
      <c r="K124" s="11"/>
      <c r="L124" s="11">
        <f>SUM(M124:N124)</f>
        <v>4807</v>
      </c>
      <c r="M124" s="11">
        <v>4807</v>
      </c>
      <c r="N124" s="11"/>
      <c r="O124" s="11">
        <v>30907</v>
      </c>
      <c r="P124" s="11">
        <v>6765</v>
      </c>
      <c r="Q124" s="11"/>
      <c r="R124" s="11">
        <v>7691</v>
      </c>
      <c r="S124" s="11"/>
      <c r="T124" s="11"/>
      <c r="U124" s="11"/>
      <c r="V124" s="11">
        <v>15269</v>
      </c>
      <c r="W124" s="72">
        <v>3131</v>
      </c>
      <c r="X124" s="74"/>
      <c r="Y124" s="89"/>
      <c r="Z124" s="11"/>
      <c r="AA124" s="75"/>
      <c r="AB124" s="75"/>
      <c r="AC124" s="75"/>
      <c r="AE124" s="50" t="s">
        <v>116</v>
      </c>
      <c r="AF124" s="90"/>
      <c r="AG124" s="90"/>
      <c r="AH124" s="90"/>
      <c r="AI124" s="90"/>
      <c r="AJ124" s="90"/>
      <c r="AK124" s="90"/>
      <c r="AL124" s="90"/>
      <c r="AM124" s="90"/>
      <c r="AN124" s="90"/>
      <c r="AO124" s="90"/>
      <c r="AP124" s="90"/>
      <c r="AQ124" s="90"/>
      <c r="AR124" s="90"/>
      <c r="AS124" s="90"/>
    </row>
    <row r="125" spans="1:45" ht="15" thickBot="1">
      <c r="A125" s="22">
        <v>4</v>
      </c>
      <c r="B125" s="23">
        <v>46142</v>
      </c>
      <c r="C125" s="24" t="s">
        <v>30</v>
      </c>
      <c r="D125" s="22">
        <v>11655</v>
      </c>
      <c r="F125" s="11" t="s">
        <v>27</v>
      </c>
      <c r="G125" s="2"/>
      <c r="H125" s="2"/>
      <c r="I125" s="11"/>
      <c r="J125" s="2"/>
      <c r="K125" s="2"/>
      <c r="L125" s="2"/>
      <c r="M125" s="2"/>
      <c r="N125" s="2"/>
      <c r="O125" s="11"/>
      <c r="P125" s="2"/>
      <c r="Q125" s="2"/>
      <c r="R125" s="2"/>
      <c r="S125" s="2"/>
      <c r="T125" s="11"/>
      <c r="U125" s="2"/>
      <c r="V125" s="2"/>
      <c r="W125" s="85"/>
      <c r="X125" s="74"/>
      <c r="Y125" s="89"/>
      <c r="Z125" s="11"/>
      <c r="AA125" s="75"/>
      <c r="AB125" s="75"/>
      <c r="AC125" s="75"/>
      <c r="AE125" s="99" t="s">
        <v>117</v>
      </c>
      <c r="AF125" s="92"/>
      <c r="AG125" s="92"/>
      <c r="AH125" s="92"/>
      <c r="AI125" s="92"/>
      <c r="AJ125" s="90"/>
      <c r="AK125" s="90"/>
      <c r="AL125" s="90"/>
      <c r="AM125" s="90"/>
      <c r="AN125" s="90"/>
      <c r="AO125" s="90"/>
      <c r="AP125" s="90"/>
      <c r="AQ125" s="90"/>
      <c r="AR125" s="90"/>
      <c r="AS125" s="90"/>
    </row>
    <row r="126" spans="1:45" ht="15" thickBot="1">
      <c r="A126" s="22">
        <v>5</v>
      </c>
      <c r="B126" s="23">
        <v>46142</v>
      </c>
      <c r="C126" s="24" t="s">
        <v>31</v>
      </c>
      <c r="D126" s="22">
        <v>21800</v>
      </c>
      <c r="F126" s="11" t="s">
        <v>27</v>
      </c>
      <c r="G126" s="2"/>
      <c r="H126" s="2"/>
      <c r="I126" s="11"/>
      <c r="J126" s="2"/>
      <c r="K126" s="2"/>
      <c r="L126" s="2"/>
      <c r="M126" s="2"/>
      <c r="N126" s="2"/>
      <c r="O126" s="11"/>
      <c r="P126" s="2"/>
      <c r="Q126" s="2"/>
      <c r="R126" s="2"/>
      <c r="S126" s="2"/>
      <c r="T126" s="11"/>
      <c r="U126" s="2"/>
      <c r="V126" s="2"/>
      <c r="W126" s="85"/>
      <c r="X126" s="74"/>
      <c r="Y126" s="89"/>
      <c r="Z126" s="11"/>
      <c r="AA126" s="75"/>
      <c r="AB126" s="75"/>
      <c r="AC126" s="75"/>
      <c r="AD126" s="93" t="s">
        <v>89</v>
      </c>
      <c r="AE126" s="94">
        <f>SUM(AF126:AS126)</f>
        <v>3795</v>
      </c>
      <c r="AF126" s="95">
        <f t="shared" ref="AF126:AG126" si="69">SUM(AF122:AF125)</f>
        <v>3795</v>
      </c>
      <c r="AG126" s="95">
        <f t="shared" si="69"/>
        <v>0</v>
      </c>
      <c r="AH126" s="95">
        <f>SUM(AH122:AH125)</f>
        <v>0</v>
      </c>
      <c r="AI126" s="95">
        <f t="shared" ref="AI126:AS126" si="70">SUM(AI122:AI125)</f>
        <v>0</v>
      </c>
      <c r="AJ126" s="95">
        <f t="shared" si="70"/>
        <v>0</v>
      </c>
      <c r="AK126" s="95">
        <f t="shared" si="70"/>
        <v>0</v>
      </c>
      <c r="AL126" s="95">
        <f t="shared" si="70"/>
        <v>0</v>
      </c>
      <c r="AM126" s="95">
        <f t="shared" si="70"/>
        <v>0</v>
      </c>
      <c r="AN126" s="95">
        <f t="shared" si="70"/>
        <v>0</v>
      </c>
      <c r="AO126" s="95">
        <f t="shared" si="70"/>
        <v>0</v>
      </c>
      <c r="AP126" s="95">
        <f t="shared" si="70"/>
        <v>0</v>
      </c>
      <c r="AQ126" s="95">
        <f t="shared" si="70"/>
        <v>0</v>
      </c>
      <c r="AR126" s="95">
        <f t="shared" si="70"/>
        <v>0</v>
      </c>
      <c r="AS126" s="95">
        <f t="shared" si="70"/>
        <v>0</v>
      </c>
    </row>
    <row r="127" spans="1:45" ht="15" thickBot="1">
      <c r="A127" s="22">
        <v>6</v>
      </c>
      <c r="B127" s="23">
        <v>46142</v>
      </c>
      <c r="C127" s="24" t="s">
        <v>32</v>
      </c>
      <c r="D127" s="22">
        <v>10499.99</v>
      </c>
      <c r="F127" s="11" t="s">
        <v>27</v>
      </c>
      <c r="G127" s="2"/>
      <c r="H127" s="2"/>
      <c r="I127" s="11"/>
      <c r="J127" s="2"/>
      <c r="K127" s="2"/>
      <c r="L127" s="2"/>
      <c r="M127" s="2"/>
      <c r="N127" s="2"/>
      <c r="O127" s="11"/>
      <c r="P127" s="2"/>
      <c r="Q127" s="2"/>
      <c r="R127" s="2"/>
      <c r="S127" s="2"/>
      <c r="T127" s="11"/>
      <c r="U127" s="2"/>
      <c r="V127" s="2"/>
      <c r="W127" s="85"/>
      <c r="X127" s="74"/>
      <c r="Y127" s="89"/>
      <c r="Z127" s="11"/>
      <c r="AA127" s="75"/>
      <c r="AB127" s="75"/>
      <c r="AC127" s="75"/>
    </row>
    <row r="128" spans="1:45" ht="29.4" thickBot="1">
      <c r="A128" s="22">
        <v>7</v>
      </c>
      <c r="B128" s="23">
        <v>46142</v>
      </c>
      <c r="C128" s="24" t="s">
        <v>34</v>
      </c>
      <c r="D128" s="22">
        <v>102187.99</v>
      </c>
      <c r="F128" s="37" t="s">
        <v>33</v>
      </c>
      <c r="G128" s="3">
        <f t="shared" ref="G128:U128" si="71">SUM(G122:G127)</f>
        <v>241699.63</v>
      </c>
      <c r="H128" s="3">
        <f t="shared" si="71"/>
        <v>21920</v>
      </c>
      <c r="I128" s="3">
        <f t="shared" si="71"/>
        <v>218746</v>
      </c>
      <c r="J128" s="3">
        <f t="shared" si="71"/>
        <v>18788</v>
      </c>
      <c r="K128" s="3">
        <f t="shared" si="71"/>
        <v>217613</v>
      </c>
      <c r="L128" s="3">
        <f t="shared" si="71"/>
        <v>17956.8</v>
      </c>
      <c r="M128" s="3"/>
      <c r="N128" s="3"/>
      <c r="O128" s="3">
        <f t="shared" si="71"/>
        <v>203078.93</v>
      </c>
      <c r="P128" s="3">
        <f t="shared" si="71"/>
        <v>18787.21</v>
      </c>
      <c r="Q128" s="3">
        <f t="shared" si="71"/>
        <v>329521</v>
      </c>
      <c r="R128" s="3">
        <f t="shared" si="71"/>
        <v>23721.940000000002</v>
      </c>
      <c r="S128" s="3">
        <f t="shared" si="71"/>
        <v>252337.7</v>
      </c>
      <c r="T128" s="3">
        <f t="shared" si="71"/>
        <v>250638</v>
      </c>
      <c r="U128" s="3">
        <f t="shared" si="71"/>
        <v>269705.38</v>
      </c>
      <c r="V128" s="3">
        <f>SUM(V122:V127)</f>
        <v>128741.21</v>
      </c>
      <c r="W128" s="3">
        <f>SUM(W122:W127)</f>
        <v>43839</v>
      </c>
      <c r="X128" s="52">
        <f t="shared" ref="X128:AC128" si="72">SUM(X122:X127)</f>
        <v>500</v>
      </c>
      <c r="Y128" s="52">
        <f t="shared" si="72"/>
        <v>5600</v>
      </c>
      <c r="Z128" s="52">
        <f t="shared" si="72"/>
        <v>14000</v>
      </c>
      <c r="AA128" s="52">
        <f t="shared" si="72"/>
        <v>2940</v>
      </c>
      <c r="AB128" s="52">
        <f t="shared" si="72"/>
        <v>500</v>
      </c>
      <c r="AC128" s="52">
        <f t="shared" si="72"/>
        <v>6000</v>
      </c>
    </row>
    <row r="129" spans="1:45" ht="28.8">
      <c r="A129" s="22">
        <v>8</v>
      </c>
      <c r="B129" s="23">
        <v>46142</v>
      </c>
      <c r="C129" s="24" t="s">
        <v>85</v>
      </c>
      <c r="D129" s="22">
        <v>223295</v>
      </c>
      <c r="F129" s="41" t="s">
        <v>35</v>
      </c>
      <c r="G129" s="36">
        <v>231861.61600000001</v>
      </c>
      <c r="H129" s="36">
        <v>21920.37</v>
      </c>
      <c r="I129" s="36">
        <v>218746</v>
      </c>
      <c r="J129" s="36">
        <v>18788.2</v>
      </c>
      <c r="K129" s="36">
        <v>217612.56599999999</v>
      </c>
      <c r="L129" s="36">
        <v>18788.18</v>
      </c>
      <c r="M129" s="36"/>
      <c r="N129" s="36"/>
      <c r="O129" s="36">
        <v>203079.56599999999</v>
      </c>
      <c r="P129" s="36">
        <v>18788.174999999999</v>
      </c>
      <c r="Q129" s="36">
        <v>329521.40700000001</v>
      </c>
      <c r="R129" s="36">
        <v>25051.55</v>
      </c>
      <c r="S129" s="36">
        <v>252337.8</v>
      </c>
      <c r="T129" s="36">
        <v>250638</v>
      </c>
      <c r="U129" s="36">
        <v>269705.40000000002</v>
      </c>
      <c r="V129" s="36">
        <v>128741.94</v>
      </c>
      <c r="W129" s="17"/>
      <c r="X129" s="17"/>
      <c r="Y129" s="17"/>
      <c r="Z129" s="17"/>
      <c r="AA129" s="17"/>
      <c r="AB129" s="17"/>
      <c r="AC129" s="17"/>
    </row>
    <row r="130" spans="1:45">
      <c r="A130" s="22">
        <v>9</v>
      </c>
      <c r="B130" s="23">
        <v>46142</v>
      </c>
      <c r="C130" s="24" t="s">
        <v>37</v>
      </c>
      <c r="D130" s="22">
        <v>2835</v>
      </c>
      <c r="F130" s="43" t="s">
        <v>84</v>
      </c>
      <c r="G130" s="51">
        <f t="shared" ref="G130:L130" si="73">(G129-G128)</f>
        <v>-9838.0139999999956</v>
      </c>
      <c r="H130" s="51">
        <f t="shared" si="73"/>
        <v>0.36999999999898137</v>
      </c>
      <c r="I130" s="51">
        <f t="shared" si="73"/>
        <v>0</v>
      </c>
      <c r="J130" s="51">
        <f t="shared" si="73"/>
        <v>0.2000000000007276</v>
      </c>
      <c r="K130" s="51">
        <f t="shared" si="73"/>
        <v>-0.4340000000083819</v>
      </c>
      <c r="L130" s="51">
        <f t="shared" si="73"/>
        <v>831.38000000000102</v>
      </c>
      <c r="M130" s="51"/>
      <c r="N130" s="51"/>
      <c r="O130" s="51">
        <f>(O129-O128)</f>
        <v>0.63599999999860302</v>
      </c>
      <c r="P130" s="51">
        <f>(P129-P128)</f>
        <v>0.96500000000014552</v>
      </c>
      <c r="Q130" s="51">
        <f t="shared" ref="Q130:R130" si="74">(Q129-Q128)</f>
        <v>0.40700000000651926</v>
      </c>
      <c r="R130" s="51">
        <f t="shared" si="74"/>
        <v>1329.6099999999969</v>
      </c>
      <c r="S130" s="51">
        <f>(S129-S128)</f>
        <v>9.9999999976716936E-2</v>
      </c>
      <c r="T130" s="51">
        <f t="shared" ref="T130:U130" si="75">(T129-T128)</f>
        <v>0</v>
      </c>
      <c r="U130" s="51">
        <f t="shared" si="75"/>
        <v>2.0000000018626451E-2</v>
      </c>
      <c r="V130" s="51">
        <f>(V129-V128)</f>
        <v>0.72999999999592546</v>
      </c>
      <c r="W130" s="28"/>
      <c r="X130" s="28"/>
      <c r="Y130" s="28"/>
      <c r="Z130" s="28"/>
      <c r="AA130" s="28"/>
      <c r="AB130" s="28"/>
      <c r="AC130" s="28"/>
    </row>
    <row r="131" spans="1:45" ht="28.8">
      <c r="A131" s="22">
        <v>10</v>
      </c>
      <c r="B131" s="23">
        <v>46142</v>
      </c>
      <c r="C131" s="24" t="s">
        <v>114</v>
      </c>
      <c r="D131" s="22">
        <v>30000</v>
      </c>
      <c r="F131" s="4" t="s">
        <v>4</v>
      </c>
      <c r="G131" s="4" t="s">
        <v>38</v>
      </c>
      <c r="H131" s="5" t="s">
        <v>39</v>
      </c>
      <c r="I131" s="5" t="s">
        <v>86</v>
      </c>
      <c r="J131" s="5" t="s">
        <v>41</v>
      </c>
      <c r="K131" s="5" t="s">
        <v>42</v>
      </c>
      <c r="L131" s="26" t="s">
        <v>43</v>
      </c>
      <c r="M131" s="5" t="s">
        <v>44</v>
      </c>
      <c r="N131" s="26" t="s">
        <v>45</v>
      </c>
      <c r="O131" s="26" t="s">
        <v>46</v>
      </c>
      <c r="P131" s="26" t="s">
        <v>114</v>
      </c>
      <c r="Q131" s="26" t="s">
        <v>48</v>
      </c>
      <c r="R131" s="26" t="s">
        <v>115</v>
      </c>
      <c r="S131" s="27" t="s">
        <v>50</v>
      </c>
      <c r="T131" s="29" t="s">
        <v>51</v>
      </c>
      <c r="U131" s="29" t="s">
        <v>128</v>
      </c>
      <c r="V131" s="29" t="s">
        <v>130</v>
      </c>
      <c r="W131" s="107" t="s">
        <v>131</v>
      </c>
      <c r="X131" s="107" t="s">
        <v>180</v>
      </c>
      <c r="Y131" s="30"/>
      <c r="Z131" s="30"/>
      <c r="AA131" s="30"/>
      <c r="AB131" s="30"/>
      <c r="AC131" s="30"/>
    </row>
    <row r="132" spans="1:45">
      <c r="A132" s="22">
        <v>11</v>
      </c>
      <c r="B132" s="23">
        <v>46142</v>
      </c>
      <c r="C132" s="24" t="s">
        <v>115</v>
      </c>
      <c r="D132" s="22">
        <v>23900</v>
      </c>
      <c r="F132" s="11" t="s">
        <v>3</v>
      </c>
      <c r="G132" s="16">
        <v>46157</v>
      </c>
      <c r="H132" s="16">
        <v>46157</v>
      </c>
      <c r="I132" s="16">
        <v>46157</v>
      </c>
      <c r="J132" s="16">
        <v>46157</v>
      </c>
      <c r="K132" s="16">
        <v>46157</v>
      </c>
      <c r="L132" s="16">
        <v>46157</v>
      </c>
      <c r="M132" s="16">
        <v>46157</v>
      </c>
      <c r="N132" s="16">
        <v>46157</v>
      </c>
      <c r="O132" s="16">
        <v>46157</v>
      </c>
      <c r="P132" s="16">
        <v>46157</v>
      </c>
      <c r="Q132" s="16">
        <v>46157</v>
      </c>
      <c r="R132" s="16">
        <v>46157</v>
      </c>
      <c r="S132" s="16">
        <v>46157</v>
      </c>
      <c r="T132" s="16">
        <v>46157</v>
      </c>
      <c r="U132" s="16">
        <v>46157</v>
      </c>
      <c r="V132" s="16">
        <v>46157</v>
      </c>
      <c r="W132" s="105">
        <v>46157</v>
      </c>
      <c r="X132" s="105">
        <v>46158</v>
      </c>
      <c r="Y132" s="31"/>
      <c r="Z132" s="31"/>
      <c r="AA132" s="31"/>
      <c r="AB132" s="31"/>
      <c r="AC132" s="31"/>
    </row>
    <row r="133" spans="1:45" ht="15" thickBot="1">
      <c r="A133" s="22">
        <v>12</v>
      </c>
      <c r="B133" s="23">
        <v>46142</v>
      </c>
      <c r="C133" s="24" t="s">
        <v>58</v>
      </c>
      <c r="D133" s="22">
        <v>18000</v>
      </c>
      <c r="F133" s="46" t="s">
        <v>59</v>
      </c>
      <c r="G133" s="46">
        <v>589500</v>
      </c>
      <c r="H133" s="46">
        <v>377130</v>
      </c>
      <c r="I133" s="46">
        <v>223295</v>
      </c>
      <c r="J133" s="46">
        <v>145966</v>
      </c>
      <c r="K133" s="46">
        <v>102187.99</v>
      </c>
      <c r="L133" s="46">
        <v>2835</v>
      </c>
      <c r="M133" s="46">
        <v>10499.99</v>
      </c>
      <c r="N133" s="46">
        <v>11655</v>
      </c>
      <c r="O133" s="46">
        <v>21800</v>
      </c>
      <c r="P133" s="46">
        <v>30000</v>
      </c>
      <c r="Q133" s="46">
        <v>18000</v>
      </c>
      <c r="R133" s="46">
        <v>23900</v>
      </c>
      <c r="S133" s="46">
        <v>508882</v>
      </c>
      <c r="T133" s="46">
        <v>49260</v>
      </c>
      <c r="U133" s="46">
        <v>7500</v>
      </c>
      <c r="V133" s="46">
        <v>83169</v>
      </c>
      <c r="W133" s="106">
        <v>13500</v>
      </c>
      <c r="X133" s="106">
        <v>23163</v>
      </c>
      <c r="Y133" s="17"/>
      <c r="Z133" s="17"/>
      <c r="AA133" s="17"/>
      <c r="AB133" s="17"/>
      <c r="AC133" s="17"/>
    </row>
    <row r="134" spans="1:45" ht="45" customHeight="1" thickBot="1">
      <c r="A134" s="22">
        <v>13</v>
      </c>
      <c r="B134" s="23">
        <v>46142</v>
      </c>
      <c r="C134" s="24" t="s">
        <v>136</v>
      </c>
      <c r="D134" s="22">
        <v>49260</v>
      </c>
      <c r="F134" s="53" t="s">
        <v>81</v>
      </c>
      <c r="G134" s="54">
        <f>SUM(G129:V129)</f>
        <v>2205580.77</v>
      </c>
      <c r="I134" s="55" t="s">
        <v>33</v>
      </c>
      <c r="J134" s="56">
        <f>SUM(G128:V128)-AE132</f>
        <v>2213254.7999999998</v>
      </c>
      <c r="L134" s="63" t="s">
        <v>77</v>
      </c>
      <c r="M134" s="64">
        <f>(G134-J134)</f>
        <v>-7674.0299999997951</v>
      </c>
      <c r="O134" s="57" t="s">
        <v>92</v>
      </c>
      <c r="P134" s="58">
        <f>SUM(G133:X133)</f>
        <v>2242242.98</v>
      </c>
      <c r="Q134" s="17"/>
      <c r="R134" s="59" t="s">
        <v>82</v>
      </c>
      <c r="S134" s="60">
        <f>SUM(X128:AC128)</f>
        <v>29540</v>
      </c>
      <c r="T134" s="32"/>
      <c r="U134" s="17"/>
    </row>
    <row r="135" spans="1:45">
      <c r="A135" s="22">
        <v>14</v>
      </c>
      <c r="B135" s="23">
        <v>46142</v>
      </c>
      <c r="C135" s="24" t="s">
        <v>135</v>
      </c>
      <c r="D135" s="22">
        <v>508882</v>
      </c>
    </row>
    <row r="136" spans="1:45">
      <c r="A136" s="22">
        <v>15</v>
      </c>
      <c r="B136" s="23">
        <v>46142</v>
      </c>
      <c r="C136" s="24" t="s">
        <v>128</v>
      </c>
      <c r="D136" s="22">
        <v>7500</v>
      </c>
    </row>
    <row r="137" spans="1:45">
      <c r="A137" s="22">
        <v>16</v>
      </c>
      <c r="B137" s="23">
        <v>46142</v>
      </c>
      <c r="C137" s="24" t="s">
        <v>129</v>
      </c>
      <c r="D137" s="22">
        <v>83169</v>
      </c>
    </row>
    <row r="138" spans="1:45">
      <c r="A138" s="22">
        <v>17</v>
      </c>
      <c r="B138" s="23">
        <v>46142</v>
      </c>
      <c r="C138" s="24" t="s">
        <v>132</v>
      </c>
      <c r="D138" s="22">
        <v>13500</v>
      </c>
      <c r="E138" s="104"/>
    </row>
    <row r="139" spans="1:45" ht="18.600000000000001" thickBot="1">
      <c r="A139" s="120" t="s">
        <v>137</v>
      </c>
      <c r="B139" s="120"/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7"/>
      <c r="V139" s="7"/>
      <c r="W139" s="7"/>
      <c r="X139" s="7"/>
      <c r="Y139" s="7"/>
      <c r="Z139" s="7"/>
      <c r="AA139" s="115"/>
      <c r="AB139" s="116"/>
      <c r="AC139" s="97"/>
      <c r="AE139" s="117" t="s">
        <v>80</v>
      </c>
      <c r="AF139" s="118"/>
      <c r="AG139" s="118"/>
      <c r="AH139" s="118"/>
      <c r="AI139" s="118"/>
      <c r="AJ139" s="118"/>
      <c r="AK139" s="118"/>
      <c r="AL139" s="118"/>
      <c r="AM139" s="118"/>
      <c r="AN139" s="118"/>
      <c r="AO139" s="118"/>
      <c r="AP139" s="118"/>
      <c r="AQ139" s="118"/>
      <c r="AR139" s="118"/>
      <c r="AS139" s="118"/>
    </row>
    <row r="140" spans="1:45" ht="43.8" thickBot="1">
      <c r="A140" s="8" t="s">
        <v>2</v>
      </c>
      <c r="B140" s="8" t="s">
        <v>3</v>
      </c>
      <c r="C140" s="8" t="s">
        <v>4</v>
      </c>
      <c r="D140" s="8" t="s">
        <v>5</v>
      </c>
      <c r="F140" s="4" t="s">
        <v>6</v>
      </c>
      <c r="G140" s="4" t="s">
        <v>7</v>
      </c>
      <c r="H140" s="4" t="s">
        <v>8</v>
      </c>
      <c r="I140" s="5" t="s">
        <v>9</v>
      </c>
      <c r="J140" s="5" t="s">
        <v>10</v>
      </c>
      <c r="K140" s="5" t="s">
        <v>11</v>
      </c>
      <c r="L140" s="5" t="s">
        <v>12</v>
      </c>
      <c r="M140" s="5" t="s">
        <v>13</v>
      </c>
      <c r="N140" s="5" t="s">
        <v>14</v>
      </c>
      <c r="O140" s="5" t="s">
        <v>15</v>
      </c>
      <c r="P140" s="5" t="s">
        <v>16</v>
      </c>
      <c r="Q140" s="5" t="s">
        <v>17</v>
      </c>
      <c r="R140" s="5" t="s">
        <v>18</v>
      </c>
      <c r="S140" s="5" t="s">
        <v>19</v>
      </c>
      <c r="T140" s="5" t="s">
        <v>20</v>
      </c>
      <c r="U140" s="5" t="s">
        <v>21</v>
      </c>
      <c r="V140" s="5" t="s">
        <v>22</v>
      </c>
      <c r="W140" s="70" t="s">
        <v>24</v>
      </c>
      <c r="X140" s="48" t="s">
        <v>23</v>
      </c>
      <c r="Y140" s="86" t="s">
        <v>105</v>
      </c>
      <c r="Z140" s="48" t="s">
        <v>70</v>
      </c>
      <c r="AA140" s="68" t="s">
        <v>104</v>
      </c>
      <c r="AB140" s="68" t="s">
        <v>113</v>
      </c>
      <c r="AC140" s="68" t="s">
        <v>133</v>
      </c>
      <c r="AE140" s="100" t="s">
        <v>124</v>
      </c>
      <c r="AF140" s="91" t="s">
        <v>7</v>
      </c>
      <c r="AG140" s="91" t="s">
        <v>9</v>
      </c>
      <c r="AH140" s="91" t="s">
        <v>11</v>
      </c>
      <c r="AI140" s="91" t="s">
        <v>15</v>
      </c>
      <c r="AJ140" s="91" t="s">
        <v>17</v>
      </c>
      <c r="AK140" s="91" t="s">
        <v>19</v>
      </c>
      <c r="AL140" s="91" t="s">
        <v>20</v>
      </c>
      <c r="AM140" s="91" t="s">
        <v>21</v>
      </c>
      <c r="AN140" s="91" t="s">
        <v>22</v>
      </c>
      <c r="AO140" s="91" t="s">
        <v>8</v>
      </c>
      <c r="AP140" s="91" t="s">
        <v>10</v>
      </c>
      <c r="AQ140" s="91" t="s">
        <v>125</v>
      </c>
      <c r="AR140" s="91" t="s">
        <v>16</v>
      </c>
      <c r="AS140" s="91" t="s">
        <v>18</v>
      </c>
    </row>
    <row r="141" spans="1:45">
      <c r="A141" s="22">
        <v>1</v>
      </c>
      <c r="B141" s="23">
        <v>46173</v>
      </c>
      <c r="C141" s="24" t="s">
        <v>141</v>
      </c>
      <c r="D141" s="22">
        <v>109820</v>
      </c>
      <c r="F141" s="11" t="s">
        <v>27</v>
      </c>
      <c r="G141" s="11">
        <v>217760.17</v>
      </c>
      <c r="H141" s="12">
        <v>21751</v>
      </c>
      <c r="I141" s="11">
        <v>202559.5</v>
      </c>
      <c r="J141" s="12">
        <v>18643</v>
      </c>
      <c r="K141" s="11">
        <v>203696</v>
      </c>
      <c r="L141" s="12">
        <f>SUM(M141:N141)</f>
        <v>18644</v>
      </c>
      <c r="M141" s="11">
        <v>15537</v>
      </c>
      <c r="N141" s="11">
        <v>3107</v>
      </c>
      <c r="O141" s="11">
        <v>204890.54</v>
      </c>
      <c r="P141" s="11">
        <v>18643.41</v>
      </c>
      <c r="Q141" s="11">
        <v>335120</v>
      </c>
      <c r="R141" s="11">
        <v>24858</v>
      </c>
      <c r="S141" s="11">
        <v>232972</v>
      </c>
      <c r="T141" s="11">
        <v>232972</v>
      </c>
      <c r="U141" s="11">
        <v>239960</v>
      </c>
      <c r="V141" s="11">
        <v>119395</v>
      </c>
      <c r="W141" s="72">
        <v>21751</v>
      </c>
      <c r="X141" s="74">
        <v>3400</v>
      </c>
      <c r="Y141" s="74"/>
      <c r="Z141" s="11">
        <v>6000</v>
      </c>
      <c r="AA141" s="75"/>
      <c r="AB141" s="75"/>
      <c r="AC141" s="75">
        <v>2000</v>
      </c>
      <c r="AD141" s="33" t="s">
        <v>78</v>
      </c>
      <c r="AE141" s="50" t="s">
        <v>88</v>
      </c>
      <c r="AF141" s="90"/>
      <c r="AG141" s="90"/>
      <c r="AH141" s="90"/>
      <c r="AI141" s="90"/>
      <c r="AJ141" s="90"/>
      <c r="AK141" s="90"/>
      <c r="AL141" s="90"/>
      <c r="AM141" s="90"/>
      <c r="AN141" s="90"/>
      <c r="AO141" s="90"/>
      <c r="AP141" s="90"/>
      <c r="AQ141" s="90"/>
      <c r="AR141" s="90"/>
      <c r="AS141" s="90"/>
    </row>
    <row r="142" spans="1:45">
      <c r="A142" s="22">
        <v>2</v>
      </c>
      <c r="B142" s="23">
        <v>46173</v>
      </c>
      <c r="C142" s="24" t="s">
        <v>28</v>
      </c>
      <c r="D142" s="22">
        <v>397665</v>
      </c>
      <c r="F142" s="11" t="s">
        <v>27</v>
      </c>
      <c r="G142" s="11">
        <v>17646</v>
      </c>
      <c r="H142" s="11"/>
      <c r="I142" s="11"/>
      <c r="J142" s="11"/>
      <c r="K142" s="11">
        <v>17647</v>
      </c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72">
        <v>18643</v>
      </c>
      <c r="X142" s="74">
        <v>400</v>
      </c>
      <c r="Y142" s="89"/>
      <c r="Z142" s="11">
        <v>6000</v>
      </c>
      <c r="AA142" s="75"/>
      <c r="AB142" s="75"/>
      <c r="AC142" s="75"/>
      <c r="AD142" s="34" t="s">
        <v>79</v>
      </c>
      <c r="AE142" s="50" t="s">
        <v>87</v>
      </c>
      <c r="AF142" s="90"/>
      <c r="AG142" s="90"/>
      <c r="AH142" s="90"/>
      <c r="AI142" s="90"/>
      <c r="AJ142" s="90"/>
      <c r="AK142" s="90"/>
      <c r="AL142" s="90"/>
      <c r="AM142" s="90"/>
      <c r="AN142" s="90"/>
      <c r="AO142" s="90"/>
      <c r="AP142" s="90"/>
      <c r="AQ142" s="90"/>
      <c r="AR142" s="90"/>
      <c r="AS142" s="90"/>
    </row>
    <row r="143" spans="1:45">
      <c r="A143" s="22">
        <v>3</v>
      </c>
      <c r="B143" s="23">
        <v>46173</v>
      </c>
      <c r="C143" s="24" t="s">
        <v>29</v>
      </c>
      <c r="D143" s="22">
        <v>444000</v>
      </c>
      <c r="F143" s="11" t="s">
        <v>27</v>
      </c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72">
        <v>3107</v>
      </c>
      <c r="X143" s="74"/>
      <c r="Y143" s="89"/>
      <c r="Z143" s="11">
        <v>10000</v>
      </c>
      <c r="AA143" s="75"/>
      <c r="AB143" s="75"/>
      <c r="AC143" s="75"/>
      <c r="AE143" s="50" t="s">
        <v>116</v>
      </c>
      <c r="AF143" s="90"/>
      <c r="AG143" s="90"/>
      <c r="AH143" s="90"/>
      <c r="AI143" s="90"/>
      <c r="AJ143" s="90"/>
      <c r="AK143" s="90"/>
      <c r="AL143" s="90"/>
      <c r="AM143" s="90"/>
      <c r="AN143" s="90"/>
      <c r="AO143" s="90"/>
      <c r="AP143" s="90"/>
      <c r="AQ143" s="90"/>
      <c r="AR143" s="90"/>
      <c r="AS143" s="90"/>
    </row>
    <row r="144" spans="1:45" ht="15" thickBot="1">
      <c r="A144" s="22">
        <v>4</v>
      </c>
      <c r="B144" s="23">
        <v>46173</v>
      </c>
      <c r="C144" s="24" t="s">
        <v>122</v>
      </c>
      <c r="D144" s="22">
        <v>298500</v>
      </c>
      <c r="F144" s="11" t="s">
        <v>27</v>
      </c>
      <c r="G144" s="2"/>
      <c r="H144" s="2"/>
      <c r="I144" s="11"/>
      <c r="J144" s="2"/>
      <c r="K144" s="2"/>
      <c r="L144" s="2"/>
      <c r="M144" s="2"/>
      <c r="N144" s="2"/>
      <c r="O144" s="11"/>
      <c r="P144" s="2"/>
      <c r="Q144" s="2"/>
      <c r="R144" s="2"/>
      <c r="S144" s="2"/>
      <c r="T144" s="11"/>
      <c r="U144" s="2"/>
      <c r="V144" s="2"/>
      <c r="W144" s="72">
        <v>15537</v>
      </c>
      <c r="X144" s="74"/>
      <c r="Y144" s="89"/>
      <c r="Z144" s="11">
        <v>6000</v>
      </c>
      <c r="AA144" s="75"/>
      <c r="AB144" s="75"/>
      <c r="AC144" s="75"/>
      <c r="AE144" s="99" t="s">
        <v>117</v>
      </c>
      <c r="AF144" s="92"/>
      <c r="AG144" s="92"/>
      <c r="AH144" s="92"/>
      <c r="AI144" s="92"/>
      <c r="AJ144" s="90"/>
      <c r="AK144" s="90"/>
      <c r="AL144" s="90"/>
      <c r="AM144" s="90"/>
      <c r="AN144" s="90"/>
      <c r="AO144" s="90"/>
      <c r="AP144" s="90"/>
      <c r="AQ144" s="90"/>
      <c r="AR144" s="90"/>
      <c r="AS144" s="90"/>
    </row>
    <row r="145" spans="1:45" ht="15" thickBot="1">
      <c r="A145" s="22">
        <v>5</v>
      </c>
      <c r="B145" s="23">
        <v>46173</v>
      </c>
      <c r="C145" s="24" t="s">
        <v>30</v>
      </c>
      <c r="D145" s="22">
        <v>12005</v>
      </c>
      <c r="F145" s="11" t="s">
        <v>27</v>
      </c>
      <c r="G145" s="2"/>
      <c r="H145" s="2"/>
      <c r="I145" s="11"/>
      <c r="J145" s="2"/>
      <c r="K145" s="2"/>
      <c r="L145" s="2"/>
      <c r="M145" s="2"/>
      <c r="N145" s="2"/>
      <c r="O145" s="11"/>
      <c r="P145" s="2"/>
      <c r="Q145" s="2"/>
      <c r="R145" s="2"/>
      <c r="S145" s="2"/>
      <c r="T145" s="11"/>
      <c r="U145" s="2"/>
      <c r="V145" s="2"/>
      <c r="W145" s="85"/>
      <c r="X145" s="74"/>
      <c r="Y145" s="89"/>
      <c r="Z145" s="11">
        <v>6000</v>
      </c>
      <c r="AA145" s="75"/>
      <c r="AB145" s="75"/>
      <c r="AC145" s="75"/>
      <c r="AD145" s="93" t="s">
        <v>89</v>
      </c>
      <c r="AE145" s="94">
        <f>SUM(AF145:AS145)</f>
        <v>0</v>
      </c>
      <c r="AF145" s="95">
        <f t="shared" ref="AF145:AG145" si="76">SUM(AF141:AF144)</f>
        <v>0</v>
      </c>
      <c r="AG145" s="95">
        <f t="shared" si="76"/>
        <v>0</v>
      </c>
      <c r="AH145" s="95">
        <f>SUM(AH141:AH144)</f>
        <v>0</v>
      </c>
      <c r="AI145" s="95">
        <f t="shared" ref="AI145:AS145" si="77">SUM(AI141:AI144)</f>
        <v>0</v>
      </c>
      <c r="AJ145" s="95">
        <f t="shared" si="77"/>
        <v>0</v>
      </c>
      <c r="AK145" s="95">
        <f t="shared" si="77"/>
        <v>0</v>
      </c>
      <c r="AL145" s="95">
        <f t="shared" si="77"/>
        <v>0</v>
      </c>
      <c r="AM145" s="95">
        <f t="shared" si="77"/>
        <v>0</v>
      </c>
      <c r="AN145" s="95">
        <f t="shared" si="77"/>
        <v>0</v>
      </c>
      <c r="AO145" s="95">
        <f t="shared" si="77"/>
        <v>0</v>
      </c>
      <c r="AP145" s="95">
        <f t="shared" si="77"/>
        <v>0</v>
      </c>
      <c r="AQ145" s="95">
        <f t="shared" si="77"/>
        <v>0</v>
      </c>
      <c r="AR145" s="95">
        <f t="shared" si="77"/>
        <v>0</v>
      </c>
      <c r="AS145" s="95">
        <f t="shared" si="77"/>
        <v>0</v>
      </c>
    </row>
    <row r="146" spans="1:45" ht="15" thickBot="1">
      <c r="A146" s="22">
        <v>6</v>
      </c>
      <c r="B146" s="23">
        <v>46173</v>
      </c>
      <c r="C146" s="24" t="s">
        <v>31</v>
      </c>
      <c r="D146" s="22">
        <v>21800</v>
      </c>
      <c r="F146" s="11" t="s">
        <v>27</v>
      </c>
      <c r="G146" s="2"/>
      <c r="H146" s="2"/>
      <c r="I146" s="11"/>
      <c r="J146" s="2"/>
      <c r="K146" s="2"/>
      <c r="L146" s="2"/>
      <c r="M146" s="2"/>
      <c r="N146" s="2"/>
      <c r="O146" s="11"/>
      <c r="P146" s="2"/>
      <c r="Q146" s="2"/>
      <c r="R146" s="2"/>
      <c r="S146" s="2"/>
      <c r="T146" s="11"/>
      <c r="U146" s="2"/>
      <c r="V146" s="2"/>
      <c r="W146" s="85"/>
      <c r="X146" s="74"/>
      <c r="Y146" s="89"/>
      <c r="Z146" s="11">
        <v>5000</v>
      </c>
      <c r="AA146" s="75"/>
      <c r="AB146" s="75"/>
      <c r="AC146" s="75"/>
    </row>
    <row r="147" spans="1:45" ht="29.4" thickBot="1">
      <c r="A147" s="22">
        <v>7</v>
      </c>
      <c r="B147" s="23">
        <v>46173</v>
      </c>
      <c r="C147" s="24" t="s">
        <v>32</v>
      </c>
      <c r="D147" s="22">
        <v>10499.99</v>
      </c>
      <c r="F147" s="37" t="s">
        <v>33</v>
      </c>
      <c r="G147" s="3">
        <f>SUM(G141:G146)</f>
        <v>235406.17</v>
      </c>
      <c r="H147" s="3">
        <f t="shared" ref="H147:L147" si="78">SUM(H141:H146)</f>
        <v>21751</v>
      </c>
      <c r="I147" s="3">
        <f t="shared" si="78"/>
        <v>202559.5</v>
      </c>
      <c r="J147" s="3">
        <f t="shared" si="78"/>
        <v>18643</v>
      </c>
      <c r="K147" s="3">
        <f t="shared" si="78"/>
        <v>221343</v>
      </c>
      <c r="L147" s="3">
        <f t="shared" si="78"/>
        <v>18644</v>
      </c>
      <c r="M147" s="3"/>
      <c r="N147" s="3"/>
      <c r="O147" s="3">
        <f>SUM(O141:O146)</f>
        <v>204890.54</v>
      </c>
      <c r="P147" s="3">
        <f t="shared" ref="P147:U147" si="79">SUM(P141:P146)</f>
        <v>18643.41</v>
      </c>
      <c r="Q147" s="3">
        <f t="shared" si="79"/>
        <v>335120</v>
      </c>
      <c r="R147" s="3">
        <f t="shared" si="79"/>
        <v>24858</v>
      </c>
      <c r="S147" s="3">
        <f t="shared" si="79"/>
        <v>232972</v>
      </c>
      <c r="T147" s="3">
        <f t="shared" si="79"/>
        <v>232972</v>
      </c>
      <c r="U147" s="3">
        <f t="shared" si="79"/>
        <v>239960</v>
      </c>
      <c r="V147" s="3">
        <f>SUM(V141:V146)</f>
        <v>119395</v>
      </c>
      <c r="W147" s="3">
        <f>SUM(W141:W146)</f>
        <v>59038</v>
      </c>
      <c r="X147" s="52">
        <f t="shared" ref="X147:AC147" si="80">SUM(X141:X146)</f>
        <v>3800</v>
      </c>
      <c r="Y147" s="52">
        <f t="shared" si="80"/>
        <v>0</v>
      </c>
      <c r="Z147" s="52">
        <f t="shared" si="80"/>
        <v>39000</v>
      </c>
      <c r="AA147" s="52">
        <f t="shared" si="80"/>
        <v>0</v>
      </c>
      <c r="AB147" s="52">
        <f t="shared" si="80"/>
        <v>0</v>
      </c>
      <c r="AC147" s="52">
        <f t="shared" si="80"/>
        <v>2000</v>
      </c>
    </row>
    <row r="148" spans="1:45" ht="28.8">
      <c r="A148" s="22">
        <v>8</v>
      </c>
      <c r="B148" s="23">
        <v>46173</v>
      </c>
      <c r="C148" s="24" t="s">
        <v>34</v>
      </c>
      <c r="D148" s="22">
        <v>90187.99</v>
      </c>
      <c r="F148" s="41" t="s">
        <v>35</v>
      </c>
      <c r="G148" s="36">
        <v>235316.65</v>
      </c>
      <c r="H148" s="36">
        <v>21751.16</v>
      </c>
      <c r="I148" s="36">
        <v>221891</v>
      </c>
      <c r="J148" s="36">
        <v>18643.400000000001</v>
      </c>
      <c r="K148" s="36">
        <v>221342.55</v>
      </c>
      <c r="L148" s="36">
        <v>18643.41</v>
      </c>
      <c r="M148" s="36"/>
      <c r="N148" s="36"/>
      <c r="O148" s="36">
        <v>204890.54</v>
      </c>
      <c r="P148" s="36">
        <v>18643.41</v>
      </c>
      <c r="Q148" s="36">
        <v>335120.96999999997</v>
      </c>
      <c r="R148" s="36">
        <v>24857.9</v>
      </c>
      <c r="S148" s="36">
        <v>232972.41</v>
      </c>
      <c r="T148" s="36">
        <v>232972.41</v>
      </c>
      <c r="U148" s="36">
        <v>239960.2</v>
      </c>
      <c r="V148" s="36">
        <v>119395.27</v>
      </c>
      <c r="W148" s="17"/>
      <c r="X148" s="17"/>
      <c r="Y148" s="17"/>
      <c r="Z148" s="17"/>
      <c r="AA148" s="17"/>
      <c r="AB148" s="17"/>
      <c r="AC148" s="17"/>
    </row>
    <row r="149" spans="1:45">
      <c r="A149" s="22">
        <v>9</v>
      </c>
      <c r="B149" s="23">
        <v>46173</v>
      </c>
      <c r="C149" s="24" t="s">
        <v>145</v>
      </c>
      <c r="D149" s="22">
        <v>10000</v>
      </c>
      <c r="F149" s="43" t="s">
        <v>84</v>
      </c>
      <c r="G149" s="51">
        <f t="shared" ref="G149:L149" si="81">(G148-G147)</f>
        <v>-89.520000000018626</v>
      </c>
      <c r="H149" s="51">
        <f t="shared" si="81"/>
        <v>0.15999999999985448</v>
      </c>
      <c r="I149" s="51">
        <f t="shared" si="81"/>
        <v>19331.5</v>
      </c>
      <c r="J149" s="51">
        <f t="shared" si="81"/>
        <v>0.40000000000145519</v>
      </c>
      <c r="K149" s="51">
        <f t="shared" si="81"/>
        <v>-0.45000000001164153</v>
      </c>
      <c r="L149" s="51">
        <f t="shared" si="81"/>
        <v>-0.59000000000014552</v>
      </c>
      <c r="M149" s="51"/>
      <c r="N149" s="51"/>
      <c r="O149" s="51">
        <f>(O148-O147)</f>
        <v>0</v>
      </c>
      <c r="P149" s="51">
        <f>(P148-P147)</f>
        <v>0</v>
      </c>
      <c r="Q149" s="51">
        <f t="shared" ref="Q149:R149" si="82">(Q148-Q147)</f>
        <v>0.96999999997206032</v>
      </c>
      <c r="R149" s="51">
        <f t="shared" si="82"/>
        <v>-9.9999999998544808E-2</v>
      </c>
      <c r="S149" s="51">
        <f>(S148-S147)</f>
        <v>0.41000000000349246</v>
      </c>
      <c r="T149" s="51">
        <f t="shared" ref="T149:U149" si="83">(T148-T147)</f>
        <v>0.41000000000349246</v>
      </c>
      <c r="U149" s="51">
        <f t="shared" si="83"/>
        <v>0.20000000001164153</v>
      </c>
      <c r="V149" s="51">
        <f>(V148-V147)</f>
        <v>0.27000000000407454</v>
      </c>
      <c r="W149" s="28"/>
      <c r="X149" s="28"/>
      <c r="Y149" s="28"/>
      <c r="Z149" s="28"/>
      <c r="AA149" s="28"/>
      <c r="AB149" s="28"/>
      <c r="AC149" s="28"/>
    </row>
    <row r="150" spans="1:45" ht="28.8">
      <c r="A150" s="22">
        <v>10</v>
      </c>
      <c r="B150" s="23">
        <v>46173</v>
      </c>
      <c r="C150" s="24" t="s">
        <v>114</v>
      </c>
      <c r="D150" s="22">
        <v>30000</v>
      </c>
      <c r="F150" s="4" t="s">
        <v>4</v>
      </c>
      <c r="G150" s="4" t="s">
        <v>38</v>
      </c>
      <c r="H150" s="5" t="s">
        <v>39</v>
      </c>
      <c r="I150" s="5" t="s">
        <v>142</v>
      </c>
      <c r="J150" s="5" t="s">
        <v>141</v>
      </c>
      <c r="K150" s="5" t="s">
        <v>42</v>
      </c>
      <c r="L150" s="26" t="s">
        <v>145</v>
      </c>
      <c r="M150" s="5" t="s">
        <v>44</v>
      </c>
      <c r="N150" s="26" t="s">
        <v>45</v>
      </c>
      <c r="O150" s="26" t="s">
        <v>46</v>
      </c>
      <c r="P150" s="26" t="s">
        <v>114</v>
      </c>
      <c r="Q150" s="26" t="s">
        <v>115</v>
      </c>
      <c r="R150" s="27" t="s">
        <v>50</v>
      </c>
      <c r="S150" s="29" t="s">
        <v>51</v>
      </c>
      <c r="T150" s="29" t="s">
        <v>128</v>
      </c>
      <c r="U150" s="29" t="s">
        <v>143</v>
      </c>
      <c r="V150" s="29" t="s">
        <v>144</v>
      </c>
      <c r="W150" s="107" t="s">
        <v>150</v>
      </c>
      <c r="X150" s="107" t="s">
        <v>146</v>
      </c>
      <c r="Y150" s="107" t="s">
        <v>151</v>
      </c>
      <c r="Z150" s="107" t="s">
        <v>162</v>
      </c>
      <c r="AA150" s="107" t="s">
        <v>164</v>
      </c>
      <c r="AB150" s="107" t="s">
        <v>165</v>
      </c>
      <c r="AC150" s="30"/>
    </row>
    <row r="151" spans="1:45">
      <c r="A151" s="22">
        <v>11</v>
      </c>
      <c r="B151" s="23">
        <v>46173</v>
      </c>
      <c r="C151" s="24" t="s">
        <v>115</v>
      </c>
      <c r="D151" s="22">
        <v>32730</v>
      </c>
      <c r="F151" s="11" t="s">
        <v>3</v>
      </c>
      <c r="G151" s="16">
        <v>46188</v>
      </c>
      <c r="H151" s="16">
        <v>46188</v>
      </c>
      <c r="I151" s="16">
        <v>46188</v>
      </c>
      <c r="J151" s="16">
        <v>46188</v>
      </c>
      <c r="K151" s="16">
        <v>46188</v>
      </c>
      <c r="L151" s="16">
        <v>46188</v>
      </c>
      <c r="M151" s="16">
        <v>46188</v>
      </c>
      <c r="N151" s="16">
        <v>46188</v>
      </c>
      <c r="O151" s="16">
        <v>46188</v>
      </c>
      <c r="P151" s="16">
        <v>46188</v>
      </c>
      <c r="Q151" s="16">
        <v>46188</v>
      </c>
      <c r="R151" s="16">
        <v>46188</v>
      </c>
      <c r="S151" s="16">
        <v>46188</v>
      </c>
      <c r="T151" s="16">
        <v>46188</v>
      </c>
      <c r="U151" s="16">
        <v>46188</v>
      </c>
      <c r="V151" s="16">
        <v>46188</v>
      </c>
      <c r="W151" s="105">
        <v>46188</v>
      </c>
      <c r="X151" s="105">
        <v>46188</v>
      </c>
      <c r="Y151" s="105">
        <v>46188</v>
      </c>
      <c r="Z151" s="105">
        <v>46188</v>
      </c>
      <c r="AA151" s="105">
        <v>46188</v>
      </c>
      <c r="AB151" s="105">
        <v>46188</v>
      </c>
      <c r="AC151" s="31"/>
    </row>
    <row r="152" spans="1:45" ht="15" thickBot="1">
      <c r="A152" s="22">
        <v>12</v>
      </c>
      <c r="B152" s="23">
        <v>46173</v>
      </c>
      <c r="C152" s="24" t="s">
        <v>146</v>
      </c>
      <c r="D152" s="22">
        <v>18000</v>
      </c>
      <c r="F152" s="46" t="s">
        <v>59</v>
      </c>
      <c r="G152" s="46">
        <v>444000</v>
      </c>
      <c r="H152" s="46">
        <v>397665</v>
      </c>
      <c r="I152" s="46">
        <v>298500</v>
      </c>
      <c r="J152" s="46">
        <v>109820</v>
      </c>
      <c r="K152" s="46">
        <v>90187.99</v>
      </c>
      <c r="L152" s="46">
        <v>10000</v>
      </c>
      <c r="M152" s="46">
        <v>10499.99</v>
      </c>
      <c r="N152" s="46">
        <v>12005</v>
      </c>
      <c r="O152" s="46">
        <v>21800</v>
      </c>
      <c r="P152" s="46">
        <v>30000</v>
      </c>
      <c r="Q152" s="46">
        <v>32730</v>
      </c>
      <c r="R152" s="46">
        <v>482557</v>
      </c>
      <c r="S152" s="46">
        <v>35710</v>
      </c>
      <c r="T152" s="46">
        <v>4600</v>
      </c>
      <c r="U152" s="46">
        <v>76499</v>
      </c>
      <c r="V152" s="46">
        <v>99826</v>
      </c>
      <c r="W152" s="106">
        <v>48500</v>
      </c>
      <c r="X152" s="106">
        <v>18000</v>
      </c>
      <c r="Y152" s="106">
        <v>50976</v>
      </c>
      <c r="Z152" s="106">
        <v>219100</v>
      </c>
      <c r="AA152" s="106">
        <v>18880</v>
      </c>
      <c r="AB152" s="106">
        <v>298970</v>
      </c>
      <c r="AC152" s="17"/>
    </row>
    <row r="153" spans="1:45" ht="43.8" thickBot="1">
      <c r="A153" s="22">
        <v>13</v>
      </c>
      <c r="B153" s="23">
        <v>46173</v>
      </c>
      <c r="C153" s="24" t="s">
        <v>138</v>
      </c>
      <c r="D153" s="22">
        <v>35710</v>
      </c>
      <c r="F153" s="53" t="s">
        <v>81</v>
      </c>
      <c r="G153" s="54">
        <f>SUM(G148:V148)</f>
        <v>2146401.2799999998</v>
      </c>
      <c r="I153" s="55" t="s">
        <v>33</v>
      </c>
      <c r="J153" s="56">
        <f>SUM(G147:V147)-AE145</f>
        <v>2127157.62</v>
      </c>
      <c r="L153" s="63" t="s">
        <v>77</v>
      </c>
      <c r="M153" s="64">
        <f>(G153-J153)</f>
        <v>19243.659999999683</v>
      </c>
      <c r="O153" s="57" t="s">
        <v>92</v>
      </c>
      <c r="P153" s="58">
        <f>SUM(G152:AB152)</f>
        <v>2810825.98</v>
      </c>
      <c r="R153" s="59" t="s">
        <v>82</v>
      </c>
      <c r="S153" s="60">
        <f>SUM(X147:AC147)</f>
        <v>44800</v>
      </c>
      <c r="T153" s="32"/>
      <c r="U153" s="17"/>
      <c r="W153" s="108"/>
      <c r="X153" s="108"/>
    </row>
    <row r="154" spans="1:45">
      <c r="A154" s="22">
        <v>14</v>
      </c>
      <c r="B154" s="23">
        <v>46173</v>
      </c>
      <c r="C154" s="24" t="s">
        <v>139</v>
      </c>
      <c r="D154" s="22">
        <v>482557</v>
      </c>
    </row>
    <row r="155" spans="1:45">
      <c r="A155" s="22">
        <v>15</v>
      </c>
      <c r="B155" s="23">
        <v>46173</v>
      </c>
      <c r="C155" s="24" t="s">
        <v>128</v>
      </c>
      <c r="D155" s="22">
        <v>4600</v>
      </c>
    </row>
    <row r="156" spans="1:45">
      <c r="A156" s="22">
        <v>16</v>
      </c>
      <c r="B156" s="23">
        <v>46173</v>
      </c>
      <c r="C156" s="24" t="s">
        <v>143</v>
      </c>
      <c r="D156" s="22">
        <v>76499</v>
      </c>
    </row>
    <row r="157" spans="1:45" ht="16.8" customHeight="1">
      <c r="A157" s="22">
        <v>17</v>
      </c>
      <c r="B157" s="23">
        <v>46173</v>
      </c>
      <c r="C157" s="24" t="s">
        <v>144</v>
      </c>
      <c r="D157" s="22">
        <v>99826</v>
      </c>
    </row>
    <row r="158" spans="1:45" ht="18.600000000000001" thickBot="1">
      <c r="A158" s="120" t="s">
        <v>147</v>
      </c>
      <c r="B158" s="120"/>
      <c r="C158" s="120"/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7"/>
      <c r="V158" s="7"/>
      <c r="W158" s="7"/>
      <c r="X158" s="7"/>
      <c r="Y158" s="7"/>
      <c r="Z158" s="7"/>
      <c r="AA158" s="115"/>
      <c r="AB158" s="116"/>
      <c r="AC158" s="97"/>
      <c r="AE158" s="117" t="s">
        <v>80</v>
      </c>
      <c r="AF158" s="118"/>
      <c r="AG158" s="118"/>
      <c r="AH158" s="118"/>
      <c r="AI158" s="118"/>
      <c r="AJ158" s="118"/>
      <c r="AK158" s="118"/>
      <c r="AL158" s="118"/>
      <c r="AM158" s="118"/>
      <c r="AN158" s="118"/>
      <c r="AO158" s="118"/>
      <c r="AP158" s="118"/>
      <c r="AQ158" s="118"/>
      <c r="AR158" s="118"/>
      <c r="AS158" s="118"/>
    </row>
    <row r="159" spans="1:45" ht="43.8" thickBot="1">
      <c r="A159" s="8" t="s">
        <v>2</v>
      </c>
      <c r="B159" s="8" t="s">
        <v>3</v>
      </c>
      <c r="C159" s="8" t="s">
        <v>4</v>
      </c>
      <c r="D159" s="8" t="s">
        <v>5</v>
      </c>
      <c r="F159" s="4" t="s">
        <v>6</v>
      </c>
      <c r="G159" s="4" t="s">
        <v>7</v>
      </c>
      <c r="H159" s="4" t="s">
        <v>8</v>
      </c>
      <c r="I159" s="5" t="s">
        <v>9</v>
      </c>
      <c r="J159" s="5" t="s">
        <v>10</v>
      </c>
      <c r="K159" s="5" t="s">
        <v>11</v>
      </c>
      <c r="L159" s="5" t="s">
        <v>12</v>
      </c>
      <c r="M159" s="5" t="s">
        <v>13</v>
      </c>
      <c r="N159" s="5" t="s">
        <v>14</v>
      </c>
      <c r="O159" s="5" t="s">
        <v>15</v>
      </c>
      <c r="P159" s="5" t="s">
        <v>16</v>
      </c>
      <c r="Q159" s="5" t="s">
        <v>17</v>
      </c>
      <c r="R159" s="5" t="s">
        <v>18</v>
      </c>
      <c r="S159" s="5" t="s">
        <v>19</v>
      </c>
      <c r="T159" s="5" t="s">
        <v>20</v>
      </c>
      <c r="U159" s="5" t="s">
        <v>21</v>
      </c>
      <c r="V159" s="5" t="s">
        <v>22</v>
      </c>
      <c r="W159" s="70" t="s">
        <v>24</v>
      </c>
      <c r="X159" s="48" t="s">
        <v>23</v>
      </c>
      <c r="Y159" s="86" t="s">
        <v>105</v>
      </c>
      <c r="Z159" s="48" t="s">
        <v>70</v>
      </c>
      <c r="AA159" s="68" t="s">
        <v>104</v>
      </c>
      <c r="AB159" s="68" t="s">
        <v>113</v>
      </c>
      <c r="AC159" s="68" t="s">
        <v>133</v>
      </c>
      <c r="AE159" s="100" t="s">
        <v>124</v>
      </c>
      <c r="AF159" s="91" t="s">
        <v>7</v>
      </c>
      <c r="AG159" s="91" t="s">
        <v>9</v>
      </c>
      <c r="AH159" s="91" t="s">
        <v>11</v>
      </c>
      <c r="AI159" s="91" t="s">
        <v>15</v>
      </c>
      <c r="AJ159" s="91" t="s">
        <v>17</v>
      </c>
      <c r="AK159" s="91" t="s">
        <v>19</v>
      </c>
      <c r="AL159" s="91" t="s">
        <v>20</v>
      </c>
      <c r="AM159" s="91" t="s">
        <v>21</v>
      </c>
      <c r="AN159" s="91" t="s">
        <v>22</v>
      </c>
      <c r="AO159" s="91" t="s">
        <v>8</v>
      </c>
      <c r="AP159" s="91" t="s">
        <v>10</v>
      </c>
      <c r="AQ159" s="91" t="s">
        <v>125</v>
      </c>
      <c r="AR159" s="91" t="s">
        <v>16</v>
      </c>
      <c r="AS159" s="91" t="s">
        <v>18</v>
      </c>
    </row>
    <row r="160" spans="1:45">
      <c r="A160" s="22">
        <v>1</v>
      </c>
      <c r="B160" s="23">
        <v>46203</v>
      </c>
      <c r="C160" s="24" t="s">
        <v>141</v>
      </c>
      <c r="D160" s="22">
        <v>100000</v>
      </c>
      <c r="F160" s="11" t="s">
        <v>27</v>
      </c>
      <c r="G160" s="11">
        <v>249027.66</v>
      </c>
      <c r="H160" s="72">
        <v>21127.565999999999</v>
      </c>
      <c r="I160" s="11">
        <v>236114.84</v>
      </c>
      <c r="J160" s="72">
        <v>18109.945</v>
      </c>
      <c r="K160" s="11">
        <v>235190</v>
      </c>
      <c r="L160" s="72">
        <f>SUM(M160:N160)</f>
        <v>18166.060000000001</v>
      </c>
      <c r="M160" s="11">
        <v>15246</v>
      </c>
      <c r="N160" s="11">
        <v>2920.06</v>
      </c>
      <c r="O160" s="11">
        <v>198717</v>
      </c>
      <c r="P160" s="11">
        <v>18885</v>
      </c>
      <c r="Q160" s="11">
        <v>345414</v>
      </c>
      <c r="R160" s="11">
        <v>25172</v>
      </c>
      <c r="S160" s="11">
        <v>232972</v>
      </c>
      <c r="T160" s="11">
        <v>258561</v>
      </c>
      <c r="U160" s="11">
        <v>244248.84</v>
      </c>
      <c r="V160" s="11">
        <v>121776.92</v>
      </c>
      <c r="W160" s="72">
        <v>21127.565999999999</v>
      </c>
      <c r="X160" s="74">
        <v>500</v>
      </c>
      <c r="Y160" s="74">
        <v>7000</v>
      </c>
      <c r="Z160" s="11">
        <v>6000</v>
      </c>
      <c r="AA160" s="75"/>
      <c r="AB160" s="75"/>
      <c r="AC160" s="75">
        <v>3000</v>
      </c>
      <c r="AD160" s="33" t="s">
        <v>78</v>
      </c>
      <c r="AE160" s="50" t="s">
        <v>88</v>
      </c>
      <c r="AF160" s="90"/>
      <c r="AG160" s="90"/>
      <c r="AH160" s="90"/>
      <c r="AI160" s="90"/>
      <c r="AJ160" s="90"/>
      <c r="AK160" s="90"/>
      <c r="AL160" s="90"/>
      <c r="AM160" s="90"/>
      <c r="AN160" s="90"/>
      <c r="AO160" s="90"/>
      <c r="AP160" s="90"/>
      <c r="AQ160" s="90"/>
      <c r="AR160" s="90"/>
      <c r="AS160" s="90"/>
    </row>
    <row r="161" spans="1:45">
      <c r="A161" s="22">
        <v>2</v>
      </c>
      <c r="B161" s="23">
        <v>46203</v>
      </c>
      <c r="C161" s="24" t="s">
        <v>154</v>
      </c>
      <c r="D161" s="22">
        <v>461937</v>
      </c>
      <c r="F161" s="11" t="s">
        <v>27</v>
      </c>
      <c r="G161" s="11"/>
      <c r="H161" s="109">
        <v>266.14999999999998</v>
      </c>
      <c r="I161" s="11"/>
      <c r="J161" s="109">
        <v>228.13</v>
      </c>
      <c r="K161" s="11"/>
      <c r="L161" s="109">
        <f>SUM(M161:N161)</f>
        <v>529.02</v>
      </c>
      <c r="M161" s="11">
        <v>491</v>
      </c>
      <c r="N161" s="11">
        <v>38.020000000000003</v>
      </c>
      <c r="O161" s="11">
        <v>20440</v>
      </c>
      <c r="P161" s="11"/>
      <c r="Q161" s="11">
        <v>13953</v>
      </c>
      <c r="R161" s="11"/>
      <c r="S161" s="11">
        <v>15917</v>
      </c>
      <c r="T161" s="11"/>
      <c r="U161" s="11"/>
      <c r="V161" s="11"/>
      <c r="W161" s="72">
        <v>18109.945</v>
      </c>
      <c r="X161" s="74"/>
      <c r="Y161" s="89">
        <v>8000</v>
      </c>
      <c r="Z161" s="11">
        <v>6000</v>
      </c>
      <c r="AA161" s="75"/>
      <c r="AB161" s="75"/>
      <c r="AC161" s="75">
        <v>2500</v>
      </c>
      <c r="AD161" s="34" t="s">
        <v>79</v>
      </c>
      <c r="AE161" s="50" t="s">
        <v>87</v>
      </c>
      <c r="AF161" s="90"/>
      <c r="AG161" s="90"/>
      <c r="AH161" s="90"/>
      <c r="AI161" s="90"/>
      <c r="AJ161" s="90"/>
      <c r="AK161" s="90"/>
      <c r="AL161" s="90"/>
      <c r="AM161" s="90"/>
      <c r="AN161" s="90"/>
      <c r="AO161" s="90"/>
      <c r="AP161" s="90"/>
      <c r="AQ161" s="90"/>
      <c r="AR161" s="90"/>
      <c r="AS161" s="90"/>
    </row>
    <row r="162" spans="1:45">
      <c r="A162" s="22">
        <v>3</v>
      </c>
      <c r="B162" s="23">
        <v>46203</v>
      </c>
      <c r="C162" s="24" t="s">
        <v>29</v>
      </c>
      <c r="D162" s="22">
        <v>496500</v>
      </c>
      <c r="F162" s="11" t="s">
        <v>27</v>
      </c>
      <c r="G162" s="11"/>
      <c r="H162" s="11">
        <v>637.4</v>
      </c>
      <c r="I162" s="11"/>
      <c r="J162" s="11">
        <v>546.34</v>
      </c>
      <c r="K162" s="11"/>
      <c r="L162" s="109">
        <f>SUM(M162:N162)</f>
        <v>91.06</v>
      </c>
      <c r="M162" s="11"/>
      <c r="N162" s="11">
        <v>91.06</v>
      </c>
      <c r="O162" s="11"/>
      <c r="P162" s="11"/>
      <c r="Q162" s="11"/>
      <c r="R162" s="11"/>
      <c r="S162" s="11"/>
      <c r="T162" s="11"/>
      <c r="U162" s="11"/>
      <c r="V162" s="11"/>
      <c r="W162" s="72">
        <v>2920.058</v>
      </c>
      <c r="X162" s="74"/>
      <c r="Y162" s="89"/>
      <c r="Z162" s="11">
        <v>6000</v>
      </c>
      <c r="AA162" s="75"/>
      <c r="AB162" s="75"/>
      <c r="AC162" s="75">
        <v>2000</v>
      </c>
      <c r="AE162" s="50" t="s">
        <v>116</v>
      </c>
      <c r="AF162" s="90"/>
      <c r="AG162" s="90"/>
      <c r="AH162" s="90"/>
      <c r="AI162" s="90"/>
      <c r="AJ162" s="90"/>
      <c r="AK162" s="90"/>
      <c r="AL162" s="90"/>
      <c r="AM162" s="90"/>
      <c r="AN162" s="90"/>
      <c r="AO162" s="90"/>
      <c r="AP162" s="90"/>
      <c r="AQ162" s="90"/>
      <c r="AR162" s="90"/>
      <c r="AS162" s="90"/>
    </row>
    <row r="163" spans="1:45" ht="15" thickBot="1">
      <c r="A163" s="22">
        <v>4</v>
      </c>
      <c r="B163" s="23">
        <v>46203</v>
      </c>
      <c r="C163" s="24" t="s">
        <v>122</v>
      </c>
      <c r="D163" s="22">
        <v>138000</v>
      </c>
      <c r="F163" s="11" t="s">
        <v>27</v>
      </c>
      <c r="G163" s="2"/>
      <c r="H163" s="2"/>
      <c r="I163" s="11"/>
      <c r="J163" s="2"/>
      <c r="K163" s="2"/>
      <c r="L163" s="2"/>
      <c r="M163" s="2"/>
      <c r="N163" s="2"/>
      <c r="O163" s="11"/>
      <c r="P163" s="2"/>
      <c r="Q163" s="2"/>
      <c r="R163" s="2"/>
      <c r="S163" s="2"/>
      <c r="T163" s="11"/>
      <c r="U163" s="2"/>
      <c r="V163" s="2"/>
      <c r="W163" s="85"/>
      <c r="X163" s="74"/>
      <c r="Y163" s="89"/>
      <c r="Z163" s="11">
        <v>6000</v>
      </c>
      <c r="AA163" s="75"/>
      <c r="AB163" s="75"/>
      <c r="AC163" s="75"/>
      <c r="AE163" s="99" t="s">
        <v>117</v>
      </c>
      <c r="AF163" s="92"/>
      <c r="AG163" s="92"/>
      <c r="AH163" s="92"/>
      <c r="AI163" s="92"/>
      <c r="AJ163" s="90"/>
      <c r="AK163" s="90"/>
      <c r="AL163" s="90"/>
      <c r="AM163" s="90"/>
      <c r="AN163" s="90"/>
      <c r="AO163" s="90"/>
      <c r="AP163" s="90"/>
      <c r="AQ163" s="90"/>
      <c r="AR163" s="90"/>
      <c r="AS163" s="90"/>
    </row>
    <row r="164" spans="1:45" ht="15" thickBot="1">
      <c r="A164" s="22">
        <v>5</v>
      </c>
      <c r="B164" s="23">
        <v>46203</v>
      </c>
      <c r="C164" s="24" t="s">
        <v>156</v>
      </c>
      <c r="D164" s="22">
        <v>87700</v>
      </c>
      <c r="F164" s="11" t="s">
        <v>27</v>
      </c>
      <c r="G164" s="2"/>
      <c r="H164" s="2"/>
      <c r="I164" s="11"/>
      <c r="J164" s="2"/>
      <c r="K164" s="2"/>
      <c r="L164" s="2"/>
      <c r="M164" s="2"/>
      <c r="N164" s="2"/>
      <c r="O164" s="11"/>
      <c r="P164" s="2"/>
      <c r="Q164" s="2"/>
      <c r="R164" s="2"/>
      <c r="S164" s="2"/>
      <c r="T164" s="11"/>
      <c r="U164" s="2"/>
      <c r="V164" s="2"/>
      <c r="W164" s="85"/>
      <c r="X164" s="74"/>
      <c r="Y164" s="89"/>
      <c r="Z164" s="11"/>
      <c r="AA164" s="75"/>
      <c r="AB164" s="75"/>
      <c r="AC164" s="75"/>
      <c r="AD164" s="93" t="s">
        <v>89</v>
      </c>
      <c r="AE164" s="94">
        <f>SUM(AF164:AS164)</f>
        <v>0</v>
      </c>
      <c r="AF164" s="95">
        <f t="shared" ref="AF164:AG164" si="84">SUM(AF160:AF163)</f>
        <v>0</v>
      </c>
      <c r="AG164" s="95">
        <f t="shared" si="84"/>
        <v>0</v>
      </c>
      <c r="AH164" s="95">
        <f>SUM(AH160:AH163)</f>
        <v>0</v>
      </c>
      <c r="AI164" s="95">
        <f t="shared" ref="AI164:AS164" si="85">SUM(AI160:AI163)</f>
        <v>0</v>
      </c>
      <c r="AJ164" s="95">
        <f t="shared" si="85"/>
        <v>0</v>
      </c>
      <c r="AK164" s="95">
        <f t="shared" si="85"/>
        <v>0</v>
      </c>
      <c r="AL164" s="95">
        <f t="shared" si="85"/>
        <v>0</v>
      </c>
      <c r="AM164" s="95">
        <f t="shared" si="85"/>
        <v>0</v>
      </c>
      <c r="AN164" s="95">
        <f t="shared" si="85"/>
        <v>0</v>
      </c>
      <c r="AO164" s="95">
        <f t="shared" si="85"/>
        <v>0</v>
      </c>
      <c r="AP164" s="95">
        <f t="shared" si="85"/>
        <v>0</v>
      </c>
      <c r="AQ164" s="95">
        <f t="shared" si="85"/>
        <v>0</v>
      </c>
      <c r="AR164" s="95">
        <f t="shared" si="85"/>
        <v>0</v>
      </c>
      <c r="AS164" s="95">
        <f t="shared" si="85"/>
        <v>0</v>
      </c>
    </row>
    <row r="165" spans="1:45" ht="15" thickBot="1">
      <c r="A165" s="22">
        <v>6</v>
      </c>
      <c r="B165" s="23">
        <v>46203</v>
      </c>
      <c r="C165" s="24" t="s">
        <v>30</v>
      </c>
      <c r="D165" s="22">
        <v>10570</v>
      </c>
      <c r="F165" s="11" t="s">
        <v>27</v>
      </c>
      <c r="G165" s="2"/>
      <c r="H165" s="2"/>
      <c r="I165" s="11"/>
      <c r="J165" s="2"/>
      <c r="K165" s="2"/>
      <c r="L165" s="2"/>
      <c r="M165" s="2"/>
      <c r="N165" s="2"/>
      <c r="O165" s="11"/>
      <c r="P165" s="2"/>
      <c r="Q165" s="2"/>
      <c r="R165" s="2"/>
      <c r="S165" s="2"/>
      <c r="T165" s="11"/>
      <c r="U165" s="2"/>
      <c r="V165" s="2"/>
      <c r="W165" s="85"/>
      <c r="X165" s="74"/>
      <c r="Y165" s="89"/>
      <c r="Z165" s="11"/>
      <c r="AA165" s="75"/>
      <c r="AB165" s="75"/>
      <c r="AC165" s="75"/>
    </row>
    <row r="166" spans="1:45" ht="29.4" thickBot="1">
      <c r="A166" s="22">
        <v>7</v>
      </c>
      <c r="B166" s="23">
        <v>46203</v>
      </c>
      <c r="C166" s="24" t="s">
        <v>31</v>
      </c>
      <c r="D166" s="22">
        <v>21800</v>
      </c>
      <c r="F166" s="37" t="s">
        <v>33</v>
      </c>
      <c r="G166" s="3">
        <f>SUM(G160:G165)</f>
        <v>249027.66</v>
      </c>
      <c r="H166" s="3">
        <f t="shared" ref="H166:W166" si="86">SUM(H160:H165)</f>
        <v>22031.116000000002</v>
      </c>
      <c r="I166" s="3">
        <f t="shared" si="86"/>
        <v>236114.84</v>
      </c>
      <c r="J166" s="3">
        <f t="shared" si="86"/>
        <v>18884.415000000001</v>
      </c>
      <c r="K166" s="3">
        <f t="shared" si="86"/>
        <v>235190</v>
      </c>
      <c r="L166" s="3">
        <f>SUM(L160:L165)</f>
        <v>18786.140000000003</v>
      </c>
      <c r="M166" s="3"/>
      <c r="N166" s="3"/>
      <c r="O166" s="3">
        <f t="shared" si="86"/>
        <v>219157</v>
      </c>
      <c r="P166" s="3">
        <f t="shared" si="86"/>
        <v>18885</v>
      </c>
      <c r="Q166" s="3">
        <f t="shared" si="86"/>
        <v>359367</v>
      </c>
      <c r="R166" s="3">
        <f t="shared" si="86"/>
        <v>25172</v>
      </c>
      <c r="S166" s="3">
        <f t="shared" si="86"/>
        <v>248889</v>
      </c>
      <c r="T166" s="3">
        <f t="shared" si="86"/>
        <v>258561</v>
      </c>
      <c r="U166" s="3">
        <f t="shared" si="86"/>
        <v>244248.84</v>
      </c>
      <c r="V166" s="3">
        <f t="shared" si="86"/>
        <v>121776.92</v>
      </c>
      <c r="W166" s="3">
        <f t="shared" si="86"/>
        <v>42157.568999999996</v>
      </c>
      <c r="X166" s="52">
        <f t="shared" ref="X166:AC166" si="87">SUM(X160:X165)</f>
        <v>500</v>
      </c>
      <c r="Y166" s="52">
        <f t="shared" si="87"/>
        <v>15000</v>
      </c>
      <c r="Z166" s="52">
        <f t="shared" si="87"/>
        <v>24000</v>
      </c>
      <c r="AA166" s="52">
        <f t="shared" si="87"/>
        <v>0</v>
      </c>
      <c r="AB166" s="52">
        <f t="shared" si="87"/>
        <v>0</v>
      </c>
      <c r="AC166" s="52">
        <f t="shared" si="87"/>
        <v>7500</v>
      </c>
    </row>
    <row r="167" spans="1:45" ht="28.8">
      <c r="A167" s="22">
        <v>8</v>
      </c>
      <c r="B167" s="23">
        <v>46203</v>
      </c>
      <c r="C167" s="24" t="s">
        <v>114</v>
      </c>
      <c r="D167" s="22">
        <v>30000</v>
      </c>
      <c r="F167" s="41" t="s">
        <v>35</v>
      </c>
      <c r="G167" s="36">
        <v>249027.66</v>
      </c>
      <c r="H167" s="36">
        <v>29472.3</v>
      </c>
      <c r="I167" s="36">
        <v>236114.84</v>
      </c>
      <c r="J167" s="36">
        <v>25263</v>
      </c>
      <c r="K167" s="36">
        <v>235190</v>
      </c>
      <c r="L167" s="36">
        <v>25262.55</v>
      </c>
      <c r="M167" s="36"/>
      <c r="N167" s="36"/>
      <c r="O167" s="36">
        <v>219222.25</v>
      </c>
      <c r="P167" s="36">
        <v>25262.55</v>
      </c>
      <c r="Q167" s="36">
        <v>359367</v>
      </c>
      <c r="R167" s="36">
        <v>33683</v>
      </c>
      <c r="S167" s="36">
        <v>248889.15</v>
      </c>
      <c r="T167" s="36">
        <v>248272</v>
      </c>
      <c r="U167" s="36">
        <v>244248.84</v>
      </c>
      <c r="V167" s="36">
        <v>179180.06</v>
      </c>
      <c r="W167" s="17"/>
      <c r="X167" s="17"/>
      <c r="Y167" s="17"/>
      <c r="Z167" s="17"/>
      <c r="AA167" s="17"/>
      <c r="AB167" s="17"/>
      <c r="AC167" s="17"/>
    </row>
    <row r="168" spans="1:45">
      <c r="A168" s="22">
        <v>9</v>
      </c>
      <c r="B168" s="23">
        <v>46203</v>
      </c>
      <c r="C168" s="24" t="s">
        <v>115</v>
      </c>
      <c r="D168" s="22">
        <v>36183</v>
      </c>
      <c r="F168" s="43" t="s">
        <v>84</v>
      </c>
      <c r="G168" s="51">
        <f t="shared" ref="G168:L168" si="88">(G167-G166)</f>
        <v>0</v>
      </c>
      <c r="H168" s="51">
        <f>(H167-H166)</f>
        <v>7441.1839999999975</v>
      </c>
      <c r="I168" s="51">
        <f t="shared" si="88"/>
        <v>0</v>
      </c>
      <c r="J168" s="51">
        <f t="shared" si="88"/>
        <v>6378.5849999999991</v>
      </c>
      <c r="K168" s="51">
        <f t="shared" si="88"/>
        <v>0</v>
      </c>
      <c r="L168" s="51">
        <f t="shared" si="88"/>
        <v>6476.4099999999962</v>
      </c>
      <c r="M168" s="51"/>
      <c r="N168" s="51"/>
      <c r="O168" s="51">
        <f>(O167-O166)</f>
        <v>65.25</v>
      </c>
      <c r="P168" s="51">
        <f>(P167-P166)</f>
        <v>6377.5499999999993</v>
      </c>
      <c r="Q168" s="51">
        <f t="shared" ref="Q168:R168" si="89">(Q167-Q166)</f>
        <v>0</v>
      </c>
      <c r="R168" s="51">
        <f t="shared" si="89"/>
        <v>8511</v>
      </c>
      <c r="S168" s="51">
        <f>(S167-S166)</f>
        <v>0.14999999999417923</v>
      </c>
      <c r="T168" s="51">
        <f t="shared" ref="T168:U168" si="90">(T167-T166)</f>
        <v>-10289</v>
      </c>
      <c r="U168" s="51">
        <f t="shared" si="90"/>
        <v>0</v>
      </c>
      <c r="V168" s="51">
        <f>(V167-V166)</f>
        <v>57403.14</v>
      </c>
      <c r="W168" s="28"/>
      <c r="X168" s="28"/>
      <c r="Y168" s="28"/>
      <c r="Z168" s="28"/>
      <c r="AA168" s="28"/>
      <c r="AB168" s="28"/>
      <c r="AC168" s="28"/>
    </row>
    <row r="169" spans="1:45" ht="28.8">
      <c r="A169" s="22">
        <v>10</v>
      </c>
      <c r="B169" s="23">
        <v>46203</v>
      </c>
      <c r="C169" s="24" t="s">
        <v>148</v>
      </c>
      <c r="D169" s="22">
        <v>81860</v>
      </c>
      <c r="F169" s="4" t="s">
        <v>4</v>
      </c>
      <c r="G169" s="4" t="s">
        <v>38</v>
      </c>
      <c r="H169" s="5" t="s">
        <v>155</v>
      </c>
      <c r="I169" s="5" t="s">
        <v>142</v>
      </c>
      <c r="J169" s="5" t="s">
        <v>157</v>
      </c>
      <c r="K169" s="5" t="s">
        <v>141</v>
      </c>
      <c r="L169" s="29" t="s">
        <v>144</v>
      </c>
      <c r="M169" s="29" t="s">
        <v>128</v>
      </c>
      <c r="N169" s="26" t="s">
        <v>45</v>
      </c>
      <c r="O169" s="26" t="s">
        <v>46</v>
      </c>
      <c r="P169" s="26" t="s">
        <v>114</v>
      </c>
      <c r="Q169" s="26" t="s">
        <v>115</v>
      </c>
      <c r="R169" s="27" t="s">
        <v>50</v>
      </c>
      <c r="S169" s="29" t="s">
        <v>51</v>
      </c>
      <c r="T169" s="29" t="s">
        <v>161</v>
      </c>
      <c r="U169" s="107" t="s">
        <v>166</v>
      </c>
      <c r="V169" s="107" t="s">
        <v>167</v>
      </c>
      <c r="W169" s="107" t="s">
        <v>185</v>
      </c>
      <c r="X169" s="107" t="s">
        <v>184</v>
      </c>
      <c r="Y169" s="107" t="s">
        <v>163</v>
      </c>
      <c r="Z169" s="30"/>
      <c r="AA169" s="30"/>
      <c r="AB169" s="30"/>
      <c r="AC169" s="30"/>
    </row>
    <row r="170" spans="1:45">
      <c r="A170" s="22">
        <v>11</v>
      </c>
      <c r="B170" s="23">
        <v>46203</v>
      </c>
      <c r="C170" s="24" t="s">
        <v>149</v>
      </c>
      <c r="D170" s="22">
        <v>466162</v>
      </c>
      <c r="F170" s="11" t="s">
        <v>3</v>
      </c>
      <c r="G170" s="16">
        <v>46218</v>
      </c>
      <c r="H170" s="16">
        <v>46218</v>
      </c>
      <c r="I170" s="16">
        <v>46218</v>
      </c>
      <c r="J170" s="16">
        <v>46218</v>
      </c>
      <c r="K170" s="16">
        <v>46218</v>
      </c>
      <c r="L170" s="16">
        <v>46218</v>
      </c>
      <c r="M170" s="16">
        <v>46218</v>
      </c>
      <c r="N170" s="16">
        <v>46218</v>
      </c>
      <c r="O170" s="16">
        <v>46218</v>
      </c>
      <c r="P170" s="16">
        <v>46218</v>
      </c>
      <c r="Q170" s="16">
        <v>46218</v>
      </c>
      <c r="R170" s="16">
        <v>46218</v>
      </c>
      <c r="S170" s="16">
        <v>46218</v>
      </c>
      <c r="T170" s="16">
        <v>46218</v>
      </c>
      <c r="U170" s="105">
        <v>46218</v>
      </c>
      <c r="V170" s="105">
        <v>46218</v>
      </c>
      <c r="W170" s="105">
        <v>46218</v>
      </c>
      <c r="X170" s="105">
        <v>46218</v>
      </c>
      <c r="Y170" s="105">
        <v>46218</v>
      </c>
      <c r="Z170" s="31"/>
      <c r="AA170" s="31"/>
      <c r="AB170" s="31"/>
      <c r="AC170" s="31"/>
    </row>
    <row r="171" spans="1:45" ht="15" thickBot="1">
      <c r="A171" s="22">
        <v>12</v>
      </c>
      <c r="B171" s="23">
        <v>46203</v>
      </c>
      <c r="C171" s="24" t="s">
        <v>128</v>
      </c>
      <c r="D171" s="22">
        <v>0</v>
      </c>
      <c r="F171" s="46" t="s">
        <v>59</v>
      </c>
      <c r="G171" s="46">
        <v>496500</v>
      </c>
      <c r="H171" s="46">
        <v>461937</v>
      </c>
      <c r="I171" s="46">
        <v>138000</v>
      </c>
      <c r="J171" s="46">
        <v>87700</v>
      </c>
      <c r="K171" s="46">
        <v>100000</v>
      </c>
      <c r="L171" s="46">
        <v>279196</v>
      </c>
      <c r="M171" s="46">
        <v>0</v>
      </c>
      <c r="N171" s="46">
        <v>10570</v>
      </c>
      <c r="O171" s="46">
        <v>21800</v>
      </c>
      <c r="P171" s="46">
        <v>30000</v>
      </c>
      <c r="Q171" s="46">
        <v>36183</v>
      </c>
      <c r="R171" s="46">
        <v>466162</v>
      </c>
      <c r="S171" s="46">
        <v>81860</v>
      </c>
      <c r="T171" s="46">
        <v>56000</v>
      </c>
      <c r="U171" s="106">
        <v>169250</v>
      </c>
      <c r="V171" s="106">
        <v>87108</v>
      </c>
      <c r="W171" s="106">
        <v>70800</v>
      </c>
      <c r="X171" s="106">
        <v>107500</v>
      </c>
      <c r="Y171" s="106">
        <v>5900</v>
      </c>
      <c r="Z171" s="17"/>
      <c r="AA171" s="17"/>
      <c r="AB171" s="17"/>
      <c r="AC171" s="17"/>
    </row>
    <row r="172" spans="1:45" ht="43.8" thickBot="1">
      <c r="A172" s="22">
        <v>13</v>
      </c>
      <c r="B172" s="23">
        <v>46203</v>
      </c>
      <c r="C172" s="24" t="s">
        <v>144</v>
      </c>
      <c r="D172" s="22">
        <v>279196</v>
      </c>
      <c r="F172" s="53" t="s">
        <v>81</v>
      </c>
      <c r="G172" s="54">
        <f>SUM(G167:V167)</f>
        <v>2358455.2000000002</v>
      </c>
      <c r="I172" s="55" t="s">
        <v>33</v>
      </c>
      <c r="J172" s="56">
        <f>SUM(G166:V166)-AE164</f>
        <v>2276090.9309999999</v>
      </c>
      <c r="L172" s="63" t="s">
        <v>77</v>
      </c>
      <c r="M172" s="64">
        <f>(G172-J172)</f>
        <v>82364.26900000032</v>
      </c>
      <c r="O172" s="57" t="s">
        <v>92</v>
      </c>
      <c r="P172" s="58">
        <f>SUM(G171:Y171)</f>
        <v>2706466</v>
      </c>
      <c r="Q172" s="17"/>
      <c r="R172" s="59" t="s">
        <v>82</v>
      </c>
      <c r="S172" s="60">
        <f>SUM(X166:AC166)</f>
        <v>47000</v>
      </c>
      <c r="T172" s="32"/>
      <c r="U172" s="17"/>
    </row>
    <row r="173" spans="1:45">
      <c r="A173" s="22">
        <v>14</v>
      </c>
      <c r="B173" s="23">
        <v>46203</v>
      </c>
      <c r="C173" s="24" t="s">
        <v>161</v>
      </c>
      <c r="D173" s="22">
        <v>56000</v>
      </c>
    </row>
    <row r="174" spans="1:45" ht="18.600000000000001" thickBot="1">
      <c r="A174" s="120" t="s">
        <v>158</v>
      </c>
      <c r="B174" s="120"/>
      <c r="C174" s="120"/>
      <c r="D174" s="120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7"/>
      <c r="V174" s="7"/>
      <c r="W174" s="7"/>
      <c r="X174" s="7"/>
      <c r="Y174" s="7"/>
      <c r="Z174" s="7"/>
      <c r="AA174" s="115"/>
      <c r="AB174" s="116"/>
      <c r="AC174" s="97"/>
      <c r="AE174" s="117" t="s">
        <v>80</v>
      </c>
      <c r="AF174" s="118"/>
      <c r="AG174" s="118"/>
      <c r="AH174" s="118"/>
      <c r="AI174" s="118"/>
      <c r="AJ174" s="118"/>
      <c r="AK174" s="118"/>
      <c r="AL174" s="118"/>
      <c r="AM174" s="118"/>
      <c r="AN174" s="118"/>
      <c r="AO174" s="118"/>
      <c r="AP174" s="118"/>
      <c r="AQ174" s="118"/>
      <c r="AR174" s="118"/>
      <c r="AS174" s="118"/>
    </row>
    <row r="175" spans="1:45" ht="43.8" thickBot="1">
      <c r="A175" s="8" t="s">
        <v>2</v>
      </c>
      <c r="B175" s="8" t="s">
        <v>3</v>
      </c>
      <c r="C175" s="8" t="s">
        <v>4</v>
      </c>
      <c r="D175" s="8" t="s">
        <v>5</v>
      </c>
      <c r="F175" s="4" t="s">
        <v>6</v>
      </c>
      <c r="G175" s="4" t="s">
        <v>7</v>
      </c>
      <c r="H175" s="4" t="s">
        <v>8</v>
      </c>
      <c r="I175" s="5" t="s">
        <v>9</v>
      </c>
      <c r="J175" s="5" t="s">
        <v>10</v>
      </c>
      <c r="K175" s="5" t="s">
        <v>11</v>
      </c>
      <c r="L175" s="5" t="s">
        <v>12</v>
      </c>
      <c r="M175" s="5" t="s">
        <v>13</v>
      </c>
      <c r="N175" s="5" t="s">
        <v>14</v>
      </c>
      <c r="O175" s="5" t="s">
        <v>15</v>
      </c>
      <c r="P175" s="5" t="s">
        <v>16</v>
      </c>
      <c r="Q175" s="5" t="s">
        <v>17</v>
      </c>
      <c r="R175" s="5" t="s">
        <v>18</v>
      </c>
      <c r="S175" s="5" t="s">
        <v>19</v>
      </c>
      <c r="T175" s="5" t="s">
        <v>20</v>
      </c>
      <c r="U175" s="5" t="s">
        <v>21</v>
      </c>
      <c r="V175" s="5" t="s">
        <v>22</v>
      </c>
      <c r="W175" s="70" t="s">
        <v>24</v>
      </c>
      <c r="X175" s="48" t="s">
        <v>23</v>
      </c>
      <c r="Y175" s="86" t="s">
        <v>105</v>
      </c>
      <c r="Z175" s="48" t="s">
        <v>70</v>
      </c>
      <c r="AA175" s="68" t="s">
        <v>104</v>
      </c>
      <c r="AB175" s="68" t="s">
        <v>113</v>
      </c>
      <c r="AC175" s="68" t="s">
        <v>133</v>
      </c>
      <c r="AE175" s="100" t="s">
        <v>124</v>
      </c>
      <c r="AF175" s="91" t="s">
        <v>7</v>
      </c>
      <c r="AG175" s="91" t="s">
        <v>9</v>
      </c>
      <c r="AH175" s="91" t="s">
        <v>11</v>
      </c>
      <c r="AI175" s="91" t="s">
        <v>15</v>
      </c>
      <c r="AJ175" s="91" t="s">
        <v>17</v>
      </c>
      <c r="AK175" s="91" t="s">
        <v>19</v>
      </c>
      <c r="AL175" s="91" t="s">
        <v>20</v>
      </c>
      <c r="AM175" s="91" t="s">
        <v>21</v>
      </c>
      <c r="AN175" s="91" t="s">
        <v>22</v>
      </c>
      <c r="AO175" s="91" t="s">
        <v>8</v>
      </c>
      <c r="AP175" s="91" t="s">
        <v>10</v>
      </c>
      <c r="AQ175" s="91" t="s">
        <v>125</v>
      </c>
      <c r="AR175" s="91" t="s">
        <v>16</v>
      </c>
      <c r="AS175" s="91" t="s">
        <v>18</v>
      </c>
    </row>
    <row r="176" spans="1:45">
      <c r="A176" s="22">
        <v>1</v>
      </c>
      <c r="B176" s="23">
        <v>46234</v>
      </c>
      <c r="C176" s="24" t="s">
        <v>141</v>
      </c>
      <c r="D176" s="22">
        <v>98066</v>
      </c>
      <c r="F176" s="11" t="s">
        <v>27</v>
      </c>
      <c r="G176" s="11">
        <v>241754.25</v>
      </c>
      <c r="H176" s="12">
        <v>21614</v>
      </c>
      <c r="I176" s="11">
        <v>204624</v>
      </c>
      <c r="J176" s="12">
        <v>18533</v>
      </c>
      <c r="K176" s="11">
        <v>237135</v>
      </c>
      <c r="L176" s="11">
        <f>SUM(M176:N176)</f>
        <v>18533</v>
      </c>
      <c r="M176" s="11">
        <v>15445</v>
      </c>
      <c r="N176" s="12">
        <v>3088</v>
      </c>
      <c r="O176" s="11">
        <v>219231</v>
      </c>
      <c r="P176" s="11">
        <v>18533</v>
      </c>
      <c r="Q176" s="11">
        <v>356282</v>
      </c>
      <c r="R176" s="11">
        <v>24616</v>
      </c>
      <c r="S176" s="11">
        <v>250707</v>
      </c>
      <c r="T176" s="11">
        <v>250158</v>
      </c>
      <c r="U176" s="11">
        <v>223700</v>
      </c>
      <c r="V176" s="11">
        <v>106077.98</v>
      </c>
      <c r="W176" s="72">
        <v>21614</v>
      </c>
      <c r="X176" s="74">
        <v>3000</v>
      </c>
      <c r="Y176" s="74"/>
      <c r="Z176" s="11">
        <v>6000</v>
      </c>
      <c r="AA176" s="75"/>
      <c r="AB176" s="75">
        <v>600</v>
      </c>
      <c r="AC176" s="75">
        <v>3000</v>
      </c>
      <c r="AD176" s="33" t="s">
        <v>78</v>
      </c>
      <c r="AE176" s="50" t="s">
        <v>88</v>
      </c>
      <c r="AF176" s="90"/>
      <c r="AG176" s="90"/>
      <c r="AH176" s="90"/>
      <c r="AI176" s="90"/>
      <c r="AJ176" s="90"/>
      <c r="AK176" s="90"/>
      <c r="AL176" s="90"/>
      <c r="AM176" s="90"/>
      <c r="AN176" s="90"/>
      <c r="AO176" s="90"/>
      <c r="AP176" s="90"/>
      <c r="AQ176" s="90"/>
      <c r="AR176" s="90"/>
      <c r="AS176" s="90"/>
    </row>
    <row r="177" spans="1:45">
      <c r="A177" s="22">
        <v>2</v>
      </c>
      <c r="B177" s="23">
        <v>46234</v>
      </c>
      <c r="C177" s="24" t="s">
        <v>154</v>
      </c>
      <c r="D177" s="22">
        <v>472708</v>
      </c>
      <c r="F177" s="11" t="s">
        <v>27</v>
      </c>
      <c r="G177" s="11">
        <v>3500</v>
      </c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72">
        <v>18533</v>
      </c>
      <c r="X177" s="74"/>
      <c r="Y177" s="89"/>
      <c r="Z177" s="11">
        <v>6000</v>
      </c>
      <c r="AA177" s="75"/>
      <c r="AB177" s="75">
        <v>500</v>
      </c>
      <c r="AC177" s="75">
        <v>2500</v>
      </c>
      <c r="AD177" s="34" t="s">
        <v>79</v>
      </c>
      <c r="AE177" s="50" t="s">
        <v>87</v>
      </c>
      <c r="AF177" s="90"/>
      <c r="AG177" s="90"/>
      <c r="AH177" s="90"/>
      <c r="AI177" s="90"/>
      <c r="AJ177" s="90"/>
      <c r="AK177" s="90"/>
      <c r="AL177" s="90"/>
      <c r="AM177" s="90"/>
      <c r="AN177" s="90"/>
      <c r="AO177" s="90"/>
      <c r="AP177" s="90"/>
      <c r="AQ177" s="90"/>
      <c r="AR177" s="90"/>
      <c r="AS177" s="90"/>
    </row>
    <row r="178" spans="1:45">
      <c r="A178" s="22">
        <v>3</v>
      </c>
      <c r="B178" s="23">
        <v>46234</v>
      </c>
      <c r="C178" s="24" t="s">
        <v>29</v>
      </c>
      <c r="D178" s="22">
        <v>255000</v>
      </c>
      <c r="F178" s="11" t="s">
        <v>27</v>
      </c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72">
        <v>3088</v>
      </c>
      <c r="X178" s="74"/>
      <c r="Y178" s="89"/>
      <c r="Z178" s="11">
        <v>6000</v>
      </c>
      <c r="AA178" s="75"/>
      <c r="AB178" s="75"/>
      <c r="AC178" s="75"/>
      <c r="AE178" s="50" t="s">
        <v>116</v>
      </c>
      <c r="AF178" s="90"/>
      <c r="AG178" s="90"/>
      <c r="AH178" s="90"/>
      <c r="AI178" s="90"/>
      <c r="AJ178" s="90"/>
      <c r="AK178" s="90"/>
      <c r="AL178" s="90"/>
      <c r="AM178" s="90"/>
      <c r="AN178" s="90"/>
      <c r="AO178" s="90"/>
      <c r="AP178" s="90"/>
      <c r="AQ178" s="90"/>
      <c r="AR178" s="90"/>
      <c r="AS178" s="90"/>
    </row>
    <row r="179" spans="1:45" ht="15" thickBot="1">
      <c r="A179" s="22">
        <v>4</v>
      </c>
      <c r="B179" s="23">
        <v>46234</v>
      </c>
      <c r="C179" s="24" t="s">
        <v>122</v>
      </c>
      <c r="D179" s="22">
        <v>199500</v>
      </c>
      <c r="F179" s="11" t="s">
        <v>27</v>
      </c>
      <c r="G179" s="2"/>
      <c r="H179" s="2"/>
      <c r="I179" s="11"/>
      <c r="J179" s="2"/>
      <c r="K179" s="2"/>
      <c r="L179" s="2"/>
      <c r="M179" s="2"/>
      <c r="N179" s="2"/>
      <c r="O179" s="11"/>
      <c r="P179" s="2"/>
      <c r="Q179" s="2"/>
      <c r="R179" s="2"/>
      <c r="S179" s="2"/>
      <c r="T179" s="11"/>
      <c r="U179" s="2"/>
      <c r="V179" s="2"/>
      <c r="W179" s="85"/>
      <c r="X179" s="74"/>
      <c r="Y179" s="89"/>
      <c r="Z179" s="11">
        <v>6000</v>
      </c>
      <c r="AA179" s="75"/>
      <c r="AB179" s="75"/>
      <c r="AC179" s="75"/>
      <c r="AE179" s="99" t="s">
        <v>117</v>
      </c>
      <c r="AF179" s="92"/>
      <c r="AG179" s="92"/>
      <c r="AH179" s="92"/>
      <c r="AI179" s="92"/>
      <c r="AJ179" s="90"/>
      <c r="AK179" s="90"/>
      <c r="AL179" s="90"/>
      <c r="AM179" s="90"/>
      <c r="AN179" s="90"/>
      <c r="AO179" s="90"/>
      <c r="AP179" s="90"/>
      <c r="AQ179" s="90"/>
      <c r="AR179" s="90"/>
      <c r="AS179" s="90"/>
    </row>
    <row r="180" spans="1:45" ht="15" thickBot="1">
      <c r="A180" s="22">
        <v>5</v>
      </c>
      <c r="B180" s="23">
        <v>46234</v>
      </c>
      <c r="C180" s="24" t="s">
        <v>156</v>
      </c>
      <c r="D180" s="22">
        <v>45950</v>
      </c>
      <c r="F180" s="11" t="s">
        <v>27</v>
      </c>
      <c r="G180" s="2"/>
      <c r="H180" s="2"/>
      <c r="I180" s="11"/>
      <c r="J180" s="2"/>
      <c r="K180" s="2"/>
      <c r="L180" s="2"/>
      <c r="M180" s="2"/>
      <c r="N180" s="2"/>
      <c r="O180" s="11"/>
      <c r="P180" s="2"/>
      <c r="Q180" s="2"/>
      <c r="R180" s="2"/>
      <c r="S180" s="2"/>
      <c r="T180" s="11"/>
      <c r="U180" s="2"/>
      <c r="V180" s="2"/>
      <c r="W180" s="85"/>
      <c r="X180" s="74"/>
      <c r="Y180" s="89"/>
      <c r="Z180" s="11">
        <v>6000</v>
      </c>
      <c r="AA180" s="75"/>
      <c r="AB180" s="75"/>
      <c r="AC180" s="75"/>
      <c r="AD180" s="93" t="s">
        <v>89</v>
      </c>
      <c r="AE180" s="94">
        <f>SUM(AF180:AS180)</f>
        <v>0</v>
      </c>
      <c r="AF180" s="95">
        <f t="shared" ref="AF180:AG180" si="91">SUM(AF176:AF179)</f>
        <v>0</v>
      </c>
      <c r="AG180" s="95">
        <f t="shared" si="91"/>
        <v>0</v>
      </c>
      <c r="AH180" s="95">
        <f>SUM(AH176:AH179)</f>
        <v>0</v>
      </c>
      <c r="AI180" s="95">
        <f t="shared" ref="AI180:AS180" si="92">SUM(AI176:AI179)</f>
        <v>0</v>
      </c>
      <c r="AJ180" s="95">
        <f t="shared" si="92"/>
        <v>0</v>
      </c>
      <c r="AK180" s="95">
        <f t="shared" si="92"/>
        <v>0</v>
      </c>
      <c r="AL180" s="95">
        <f t="shared" si="92"/>
        <v>0</v>
      </c>
      <c r="AM180" s="95">
        <f t="shared" si="92"/>
        <v>0</v>
      </c>
      <c r="AN180" s="95">
        <f t="shared" si="92"/>
        <v>0</v>
      </c>
      <c r="AO180" s="95">
        <f t="shared" si="92"/>
        <v>0</v>
      </c>
      <c r="AP180" s="95">
        <f t="shared" si="92"/>
        <v>0</v>
      </c>
      <c r="AQ180" s="95">
        <f t="shared" si="92"/>
        <v>0</v>
      </c>
      <c r="AR180" s="95">
        <f t="shared" si="92"/>
        <v>0</v>
      </c>
      <c r="AS180" s="95">
        <f t="shared" si="92"/>
        <v>0</v>
      </c>
    </row>
    <row r="181" spans="1:45" ht="15" thickBot="1">
      <c r="A181" s="22">
        <v>6</v>
      </c>
      <c r="B181" s="23">
        <v>46234</v>
      </c>
      <c r="C181" s="24" t="s">
        <v>30</v>
      </c>
      <c r="D181" s="22">
        <v>11130</v>
      </c>
      <c r="F181" s="11" t="s">
        <v>27</v>
      </c>
      <c r="G181" s="2"/>
      <c r="H181" s="2"/>
      <c r="I181" s="11"/>
      <c r="J181" s="2"/>
      <c r="K181" s="2"/>
      <c r="L181" s="2"/>
      <c r="M181" s="2"/>
      <c r="N181" s="2"/>
      <c r="O181" s="11"/>
      <c r="P181" s="2"/>
      <c r="Q181" s="2"/>
      <c r="R181" s="2"/>
      <c r="S181" s="2"/>
      <c r="T181" s="11"/>
      <c r="U181" s="2"/>
      <c r="V181" s="2"/>
      <c r="W181" s="85"/>
      <c r="X181" s="74"/>
      <c r="Y181" s="89"/>
      <c r="Z181" s="11">
        <v>6000</v>
      </c>
      <c r="AA181" s="75"/>
      <c r="AB181" s="75"/>
      <c r="AC181" s="75"/>
    </row>
    <row r="182" spans="1:45" ht="29.4" thickBot="1">
      <c r="A182" s="22">
        <v>7</v>
      </c>
      <c r="B182" s="23">
        <v>46234</v>
      </c>
      <c r="C182" s="24" t="s">
        <v>31</v>
      </c>
      <c r="D182" s="22">
        <v>21800</v>
      </c>
      <c r="F182" s="37" t="s">
        <v>33</v>
      </c>
      <c r="G182" s="3">
        <f>SUM(G176:G181)</f>
        <v>245254.25</v>
      </c>
      <c r="H182" s="3">
        <f t="shared" ref="H182:W182" si="93">SUM(H176:H181)</f>
        <v>21614</v>
      </c>
      <c r="I182" s="3">
        <f t="shared" si="93"/>
        <v>204624</v>
      </c>
      <c r="J182" s="3">
        <f t="shared" si="93"/>
        <v>18533</v>
      </c>
      <c r="K182" s="3">
        <f t="shared" si="93"/>
        <v>237135</v>
      </c>
      <c r="L182" s="3">
        <f t="shared" si="93"/>
        <v>18533</v>
      </c>
      <c r="M182" s="3"/>
      <c r="N182" s="3"/>
      <c r="O182" s="3">
        <f t="shared" si="93"/>
        <v>219231</v>
      </c>
      <c r="P182" s="3">
        <f t="shared" si="93"/>
        <v>18533</v>
      </c>
      <c r="Q182" s="3">
        <f t="shared" si="93"/>
        <v>356282</v>
      </c>
      <c r="R182" s="3">
        <f t="shared" si="93"/>
        <v>24616</v>
      </c>
      <c r="S182" s="3">
        <f t="shared" si="93"/>
        <v>250707</v>
      </c>
      <c r="T182" s="3">
        <f t="shared" si="93"/>
        <v>250158</v>
      </c>
      <c r="U182" s="3">
        <f t="shared" si="93"/>
        <v>223700</v>
      </c>
      <c r="V182" s="3">
        <f>SUM(V176:V181)</f>
        <v>106077.98</v>
      </c>
      <c r="W182" s="3">
        <f t="shared" si="93"/>
        <v>43235</v>
      </c>
      <c r="X182" s="52">
        <f t="shared" ref="X182:AC182" si="94">SUM(X176:X181)</f>
        <v>3000</v>
      </c>
      <c r="Y182" s="52">
        <f t="shared" si="94"/>
        <v>0</v>
      </c>
      <c r="Z182" s="52">
        <f t="shared" si="94"/>
        <v>36000</v>
      </c>
      <c r="AA182" s="52">
        <f t="shared" si="94"/>
        <v>0</v>
      </c>
      <c r="AB182" s="52">
        <f t="shared" si="94"/>
        <v>1100</v>
      </c>
      <c r="AC182" s="52">
        <f t="shared" si="94"/>
        <v>5500</v>
      </c>
    </row>
    <row r="183" spans="1:45" ht="28.8">
      <c r="A183" s="22">
        <v>8</v>
      </c>
      <c r="B183" s="23">
        <v>46234</v>
      </c>
      <c r="C183" s="24" t="s">
        <v>114</v>
      </c>
      <c r="D183" s="22">
        <v>30000</v>
      </c>
      <c r="F183" s="41" t="s">
        <v>35</v>
      </c>
      <c r="G183" s="36">
        <v>245254.24900000001</v>
      </c>
      <c r="H183" s="36">
        <v>21614.5</v>
      </c>
      <c r="I183" s="36">
        <v>236537</v>
      </c>
      <c r="J183" s="36">
        <v>18533.349999999999</v>
      </c>
      <c r="K183" s="36">
        <v>237134.29399999999</v>
      </c>
      <c r="L183" s="36">
        <v>18533.349999999999</v>
      </c>
      <c r="M183" s="36"/>
      <c r="N183" s="36"/>
      <c r="O183" s="36">
        <v>219231.29</v>
      </c>
      <c r="P183" s="36">
        <v>18533.349999999999</v>
      </c>
      <c r="Q183" s="36">
        <v>356282.72</v>
      </c>
      <c r="R183" s="36">
        <v>24616.68</v>
      </c>
      <c r="S183" s="36">
        <v>250157.85</v>
      </c>
      <c r="T183" s="36">
        <v>250158</v>
      </c>
      <c r="U183" s="36">
        <v>239383.3</v>
      </c>
      <c r="V183" s="36">
        <v>106077.98</v>
      </c>
      <c r="W183" s="17"/>
      <c r="X183" s="17"/>
      <c r="Y183" s="17"/>
      <c r="Z183" s="17"/>
      <c r="AA183" s="17"/>
      <c r="AB183" s="17"/>
      <c r="AC183" s="17"/>
    </row>
    <row r="184" spans="1:45">
      <c r="A184" s="22">
        <v>9</v>
      </c>
      <c r="B184" s="23">
        <v>46234</v>
      </c>
      <c r="C184" s="24" t="s">
        <v>115</v>
      </c>
      <c r="D184" s="22">
        <v>40747</v>
      </c>
      <c r="F184" s="43" t="s">
        <v>84</v>
      </c>
      <c r="G184" s="51">
        <f t="shared" ref="G184" si="95">(G183-G182)</f>
        <v>-9.9999998928979039E-4</v>
      </c>
      <c r="H184" s="51">
        <f>(H183-H182)</f>
        <v>0.5</v>
      </c>
      <c r="I184" s="51">
        <f t="shared" ref="I184:L184" si="96">(I183-I182)</f>
        <v>31913</v>
      </c>
      <c r="J184" s="51">
        <f t="shared" si="96"/>
        <v>0.34999999999854481</v>
      </c>
      <c r="K184" s="51">
        <f t="shared" si="96"/>
        <v>-0.70600000000558794</v>
      </c>
      <c r="L184" s="51">
        <f t="shared" si="96"/>
        <v>0.34999999999854481</v>
      </c>
      <c r="M184" s="51"/>
      <c r="N184" s="51"/>
      <c r="O184" s="51">
        <f>(O183-O182)</f>
        <v>0.29000000000814907</v>
      </c>
      <c r="P184" s="51">
        <f>(P183-P182)</f>
        <v>0.34999999999854481</v>
      </c>
      <c r="Q184" s="51">
        <f t="shared" ref="Q184:R184" si="97">(Q183-Q182)</f>
        <v>0.71999999997206032</v>
      </c>
      <c r="R184" s="51">
        <f t="shared" si="97"/>
        <v>0.68000000000029104</v>
      </c>
      <c r="S184" s="51">
        <f>(S183-S182)</f>
        <v>-549.14999999999418</v>
      </c>
      <c r="T184" s="51">
        <f t="shared" ref="T184:U184" si="98">(T183-T182)</f>
        <v>0</v>
      </c>
      <c r="U184" s="51">
        <f t="shared" si="98"/>
        <v>15683.299999999988</v>
      </c>
      <c r="V184" s="51">
        <f>(V183-V182)</f>
        <v>0</v>
      </c>
      <c r="W184" s="28"/>
      <c r="X184" s="28"/>
      <c r="Y184" s="28"/>
      <c r="Z184" s="28"/>
      <c r="AA184" s="28"/>
      <c r="AB184" s="28"/>
      <c r="AC184" s="28"/>
    </row>
    <row r="185" spans="1:45" ht="28.8">
      <c r="A185" s="22">
        <v>10</v>
      </c>
      <c r="B185" s="23">
        <v>46234</v>
      </c>
      <c r="C185" s="24" t="s">
        <v>159</v>
      </c>
      <c r="D185" s="22">
        <v>88870</v>
      </c>
      <c r="F185" s="4" t="s">
        <v>4</v>
      </c>
      <c r="G185" s="4" t="s">
        <v>38</v>
      </c>
      <c r="H185" s="5" t="s">
        <v>155</v>
      </c>
      <c r="I185" s="5" t="s">
        <v>142</v>
      </c>
      <c r="J185" s="5" t="s">
        <v>157</v>
      </c>
      <c r="K185" s="5" t="s">
        <v>141</v>
      </c>
      <c r="L185" s="29" t="s">
        <v>144</v>
      </c>
      <c r="M185" s="29" t="s">
        <v>128</v>
      </c>
      <c r="N185" s="26" t="s">
        <v>45</v>
      </c>
      <c r="O185" s="26" t="s">
        <v>46</v>
      </c>
      <c r="P185" s="26" t="s">
        <v>114</v>
      </c>
      <c r="Q185" s="26" t="s">
        <v>115</v>
      </c>
      <c r="R185" s="27" t="s">
        <v>50</v>
      </c>
      <c r="S185" s="29" t="s">
        <v>51</v>
      </c>
      <c r="T185" s="29" t="s">
        <v>172</v>
      </c>
      <c r="U185" s="29" t="s">
        <v>48</v>
      </c>
      <c r="V185" s="107" t="s">
        <v>173</v>
      </c>
      <c r="W185" s="107" t="s">
        <v>175</v>
      </c>
      <c r="X185" s="107" t="s">
        <v>176</v>
      </c>
      <c r="Y185" s="107" t="s">
        <v>180</v>
      </c>
      <c r="Z185" s="30"/>
      <c r="AA185" s="30"/>
      <c r="AB185" s="30"/>
      <c r="AC185" s="30"/>
    </row>
    <row r="186" spans="1:45">
      <c r="A186" s="22">
        <v>11</v>
      </c>
      <c r="B186" s="23">
        <v>46234</v>
      </c>
      <c r="C186" s="24" t="s">
        <v>160</v>
      </c>
      <c r="D186" s="22">
        <v>409019</v>
      </c>
      <c r="F186" s="11" t="s">
        <v>3</v>
      </c>
      <c r="G186" s="16">
        <v>46249</v>
      </c>
      <c r="H186" s="16">
        <v>46249</v>
      </c>
      <c r="I186" s="16">
        <v>46249</v>
      </c>
      <c r="J186" s="16">
        <v>46249</v>
      </c>
      <c r="K186" s="16">
        <v>46249</v>
      </c>
      <c r="L186" s="16">
        <v>46249</v>
      </c>
      <c r="M186" s="16">
        <v>46249</v>
      </c>
      <c r="N186" s="16">
        <v>46249</v>
      </c>
      <c r="O186" s="16">
        <v>46249</v>
      </c>
      <c r="P186" s="16">
        <v>46249</v>
      </c>
      <c r="Q186" s="16">
        <v>46249</v>
      </c>
      <c r="R186" s="16">
        <v>46249</v>
      </c>
      <c r="S186" s="16">
        <v>46249</v>
      </c>
      <c r="T186" s="16">
        <v>46249</v>
      </c>
      <c r="U186" s="16">
        <v>46249</v>
      </c>
      <c r="V186" s="105">
        <v>46249</v>
      </c>
      <c r="W186" s="105">
        <v>46249</v>
      </c>
      <c r="X186" s="105">
        <v>46249</v>
      </c>
      <c r="Y186" s="105">
        <v>46249</v>
      </c>
      <c r="Z186" s="31"/>
      <c r="AA186" s="31"/>
      <c r="AB186" s="31"/>
      <c r="AC186" s="31"/>
    </row>
    <row r="187" spans="1:45" ht="15" thickBot="1">
      <c r="A187" s="22">
        <v>12</v>
      </c>
      <c r="B187" s="23">
        <v>46234</v>
      </c>
      <c r="C187" s="24" t="s">
        <v>128</v>
      </c>
      <c r="D187" s="22">
        <v>1600</v>
      </c>
      <c r="F187" s="46" t="s">
        <v>59</v>
      </c>
      <c r="G187" s="46">
        <v>255000</v>
      </c>
      <c r="H187" s="46">
        <v>472708</v>
      </c>
      <c r="I187" s="46">
        <v>199500</v>
      </c>
      <c r="J187" s="46">
        <v>45950</v>
      </c>
      <c r="K187" s="46">
        <v>98066</v>
      </c>
      <c r="L187" s="46">
        <v>248387</v>
      </c>
      <c r="M187" s="46">
        <v>1600</v>
      </c>
      <c r="N187" s="46">
        <v>11130</v>
      </c>
      <c r="O187" s="46">
        <v>21800</v>
      </c>
      <c r="P187" s="46">
        <v>30000</v>
      </c>
      <c r="Q187" s="46">
        <v>40747</v>
      </c>
      <c r="R187" s="46">
        <v>409019</v>
      </c>
      <c r="S187" s="46">
        <v>88870</v>
      </c>
      <c r="T187" s="46">
        <v>9500</v>
      </c>
      <c r="U187" s="46">
        <v>10800</v>
      </c>
      <c r="V187" s="106">
        <v>193000</v>
      </c>
      <c r="W187" s="106">
        <v>29880</v>
      </c>
      <c r="X187" s="106">
        <v>9190</v>
      </c>
      <c r="Y187" s="106">
        <v>15540</v>
      </c>
      <c r="Z187" s="17"/>
      <c r="AA187" s="17"/>
      <c r="AB187" s="17"/>
      <c r="AC187" s="17"/>
    </row>
    <row r="188" spans="1:45" ht="43.8" thickBot="1">
      <c r="A188" s="22">
        <v>13</v>
      </c>
      <c r="B188" s="23">
        <v>46234</v>
      </c>
      <c r="C188" s="24" t="s">
        <v>144</v>
      </c>
      <c r="D188" s="22">
        <v>248387</v>
      </c>
      <c r="F188" s="53" t="s">
        <v>81</v>
      </c>
      <c r="G188" s="54">
        <f>SUM(G183:V183)</f>
        <v>2242047.9129999997</v>
      </c>
      <c r="I188" s="55" t="s">
        <v>33</v>
      </c>
      <c r="J188" s="56">
        <f>SUM(G182:V182)</f>
        <v>2194998.23</v>
      </c>
      <c r="L188" s="63" t="s">
        <v>77</v>
      </c>
      <c r="M188" s="64">
        <f>(G188-J188)</f>
        <v>47049.682999999728</v>
      </c>
      <c r="O188" s="57" t="s">
        <v>92</v>
      </c>
      <c r="P188" s="58">
        <f>SUM(G187:Y187)</f>
        <v>2190687</v>
      </c>
      <c r="Q188" s="17"/>
      <c r="R188" s="59" t="s">
        <v>82</v>
      </c>
      <c r="S188" s="60">
        <f>SUM(X182:AC182)</f>
        <v>45600</v>
      </c>
      <c r="T188" s="32"/>
      <c r="U188" s="17"/>
    </row>
    <row r="189" spans="1:45">
      <c r="A189" s="22">
        <v>14</v>
      </c>
      <c r="B189" s="23">
        <v>46234</v>
      </c>
      <c r="C189" s="24" t="s">
        <v>161</v>
      </c>
      <c r="D189" s="22"/>
    </row>
    <row r="190" spans="1:45">
      <c r="A190" s="22">
        <v>15</v>
      </c>
      <c r="B190" s="23">
        <v>46234</v>
      </c>
      <c r="C190" s="24" t="s">
        <v>172</v>
      </c>
      <c r="D190" s="22">
        <v>9500</v>
      </c>
    </row>
    <row r="191" spans="1:45">
      <c r="A191" s="22">
        <v>16</v>
      </c>
      <c r="B191" s="23">
        <v>46234</v>
      </c>
      <c r="C191" s="24" t="s">
        <v>48</v>
      </c>
      <c r="D191" s="22">
        <v>10800</v>
      </c>
    </row>
    <row r="192" spans="1:45" ht="18.600000000000001" thickBot="1">
      <c r="A192" s="120" t="s">
        <v>169</v>
      </c>
      <c r="B192" s="120"/>
      <c r="C192" s="120"/>
      <c r="D192" s="120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7"/>
      <c r="V192" s="7"/>
      <c r="W192" s="7"/>
      <c r="X192" s="7"/>
      <c r="Y192" s="7"/>
      <c r="Z192" s="7"/>
      <c r="AA192" s="115"/>
      <c r="AB192" s="116"/>
      <c r="AC192" s="97"/>
      <c r="AE192" s="117" t="s">
        <v>80</v>
      </c>
      <c r="AF192" s="118"/>
      <c r="AG192" s="118"/>
      <c r="AH192" s="118"/>
      <c r="AI192" s="118"/>
      <c r="AJ192" s="118"/>
      <c r="AK192" s="118"/>
      <c r="AL192" s="118"/>
      <c r="AM192" s="118"/>
      <c r="AN192" s="118"/>
      <c r="AO192" s="118"/>
      <c r="AP192" s="118"/>
      <c r="AQ192" s="118"/>
      <c r="AR192" s="118"/>
      <c r="AS192" s="118"/>
    </row>
    <row r="193" spans="1:45" ht="43.8" thickBot="1">
      <c r="A193" s="8" t="s">
        <v>2</v>
      </c>
      <c r="B193" s="8" t="s">
        <v>3</v>
      </c>
      <c r="C193" s="8" t="s">
        <v>4</v>
      </c>
      <c r="D193" s="8" t="s">
        <v>5</v>
      </c>
      <c r="F193" s="4" t="s">
        <v>6</v>
      </c>
      <c r="G193" s="4" t="s">
        <v>7</v>
      </c>
      <c r="H193" s="4" t="s">
        <v>8</v>
      </c>
      <c r="I193" s="5" t="s">
        <v>9</v>
      </c>
      <c r="J193" s="5" t="s">
        <v>10</v>
      </c>
      <c r="K193" s="5" t="s">
        <v>11</v>
      </c>
      <c r="L193" s="5" t="s">
        <v>12</v>
      </c>
      <c r="M193" s="5" t="s">
        <v>13</v>
      </c>
      <c r="N193" s="5" t="s">
        <v>14</v>
      </c>
      <c r="O193" s="5" t="s">
        <v>15</v>
      </c>
      <c r="P193" s="5" t="s">
        <v>16</v>
      </c>
      <c r="Q193" s="5" t="s">
        <v>17</v>
      </c>
      <c r="R193" s="5" t="s">
        <v>18</v>
      </c>
      <c r="S193" s="5" t="s">
        <v>19</v>
      </c>
      <c r="T193" s="5" t="s">
        <v>20</v>
      </c>
      <c r="U193" s="5" t="s">
        <v>21</v>
      </c>
      <c r="V193" s="5" t="s">
        <v>22</v>
      </c>
      <c r="W193" s="70" t="s">
        <v>24</v>
      </c>
      <c r="X193" s="48" t="s">
        <v>23</v>
      </c>
      <c r="Y193" s="86" t="s">
        <v>105</v>
      </c>
      <c r="Z193" s="48" t="s">
        <v>70</v>
      </c>
      <c r="AA193" s="68" t="s">
        <v>104</v>
      </c>
      <c r="AB193" s="68" t="s">
        <v>113</v>
      </c>
      <c r="AC193" s="68" t="s">
        <v>133</v>
      </c>
      <c r="AE193" s="100" t="s">
        <v>124</v>
      </c>
      <c r="AF193" s="91" t="s">
        <v>7</v>
      </c>
      <c r="AG193" s="91" t="s">
        <v>9</v>
      </c>
      <c r="AH193" s="91" t="s">
        <v>11</v>
      </c>
      <c r="AI193" s="91" t="s">
        <v>15</v>
      </c>
      <c r="AJ193" s="91" t="s">
        <v>17</v>
      </c>
      <c r="AK193" s="91" t="s">
        <v>19</v>
      </c>
      <c r="AL193" s="91" t="s">
        <v>20</v>
      </c>
      <c r="AM193" s="91" t="s">
        <v>21</v>
      </c>
      <c r="AN193" s="91" t="s">
        <v>22</v>
      </c>
      <c r="AO193" s="91" t="s">
        <v>8</v>
      </c>
      <c r="AP193" s="91" t="s">
        <v>10</v>
      </c>
      <c r="AQ193" s="91" t="s">
        <v>125</v>
      </c>
      <c r="AR193" s="91" t="s">
        <v>16</v>
      </c>
      <c r="AS193" s="91" t="s">
        <v>18</v>
      </c>
    </row>
    <row r="194" spans="1:45">
      <c r="A194" s="22">
        <v>1</v>
      </c>
      <c r="B194" s="23">
        <v>46265</v>
      </c>
      <c r="C194" s="24" t="s">
        <v>141</v>
      </c>
      <c r="D194" s="22">
        <v>100000</v>
      </c>
      <c r="F194" s="11" t="s">
        <v>27</v>
      </c>
      <c r="G194" s="11">
        <v>213425</v>
      </c>
      <c r="H194" s="12">
        <v>19121</v>
      </c>
      <c r="I194" s="11">
        <v>204724</v>
      </c>
      <c r="J194" s="12">
        <v>16388</v>
      </c>
      <c r="K194" s="11">
        <v>204013</v>
      </c>
      <c r="L194" s="11">
        <f>SUM(M194:N194)</f>
        <v>16388</v>
      </c>
      <c r="M194" s="11">
        <v>13657</v>
      </c>
      <c r="N194" s="12">
        <v>2731</v>
      </c>
      <c r="O194" s="11">
        <v>186466</v>
      </c>
      <c r="P194" s="11">
        <v>16388.07</v>
      </c>
      <c r="Q194" s="11">
        <v>309604</v>
      </c>
      <c r="R194" s="11">
        <v>21852.5</v>
      </c>
      <c r="S194" s="11">
        <v>212179</v>
      </c>
      <c r="T194" s="11">
        <v>214017.13</v>
      </c>
      <c r="U194" s="11">
        <v>205207</v>
      </c>
      <c r="V194" s="11">
        <v>99304</v>
      </c>
      <c r="W194" s="72">
        <v>19121</v>
      </c>
      <c r="X194" s="74"/>
      <c r="Y194" s="74">
        <v>8000</v>
      </c>
      <c r="Z194" s="11">
        <v>15000</v>
      </c>
      <c r="AA194" s="75"/>
      <c r="AB194" s="75"/>
      <c r="AC194" s="75">
        <v>2500</v>
      </c>
      <c r="AD194" s="33" t="s">
        <v>78</v>
      </c>
      <c r="AE194" s="50" t="s">
        <v>88</v>
      </c>
      <c r="AF194" s="90"/>
      <c r="AG194" s="90"/>
      <c r="AH194" s="90"/>
      <c r="AI194" s="90"/>
      <c r="AJ194" s="90"/>
      <c r="AK194" s="90"/>
      <c r="AL194" s="90"/>
      <c r="AM194" s="90"/>
      <c r="AN194" s="90"/>
      <c r="AO194" s="90"/>
      <c r="AP194" s="90"/>
      <c r="AQ194" s="90"/>
      <c r="AR194" s="90"/>
      <c r="AS194" s="90"/>
    </row>
    <row r="195" spans="1:45">
      <c r="A195" s="22">
        <v>2</v>
      </c>
      <c r="B195" s="23">
        <v>46265</v>
      </c>
      <c r="C195" s="24" t="s">
        <v>154</v>
      </c>
      <c r="D195" s="22">
        <v>446560</v>
      </c>
      <c r="F195" s="11" t="s">
        <v>27</v>
      </c>
      <c r="G195" s="11"/>
      <c r="H195" s="11">
        <v>7441</v>
      </c>
      <c r="I195" s="11"/>
      <c r="J195" s="11">
        <v>6378</v>
      </c>
      <c r="K195" s="11"/>
      <c r="L195" s="11">
        <v>6371</v>
      </c>
      <c r="M195" s="11"/>
      <c r="N195" s="11"/>
      <c r="O195" s="11"/>
      <c r="P195" s="11">
        <v>6377</v>
      </c>
      <c r="Q195" s="11"/>
      <c r="R195" s="11">
        <v>8511</v>
      </c>
      <c r="S195" s="11"/>
      <c r="T195" s="11"/>
      <c r="U195" s="11"/>
      <c r="V195" s="11"/>
      <c r="W195" s="72">
        <v>16388</v>
      </c>
      <c r="X195" s="74"/>
      <c r="Y195" s="89"/>
      <c r="Z195" s="11">
        <v>6000</v>
      </c>
      <c r="AA195" s="75"/>
      <c r="AB195" s="75"/>
      <c r="AC195" s="75">
        <v>2000</v>
      </c>
      <c r="AD195" s="34" t="s">
        <v>79</v>
      </c>
      <c r="AE195" s="50" t="s">
        <v>87</v>
      </c>
      <c r="AF195" s="90"/>
      <c r="AG195" s="90"/>
      <c r="AH195" s="90"/>
      <c r="AI195" s="90"/>
      <c r="AJ195" s="90"/>
      <c r="AK195" s="90"/>
      <c r="AL195" s="90"/>
      <c r="AM195" s="90"/>
      <c r="AN195" s="90"/>
      <c r="AO195" s="90"/>
      <c r="AP195" s="90"/>
      <c r="AQ195" s="90"/>
      <c r="AR195" s="90"/>
      <c r="AS195" s="90"/>
    </row>
    <row r="196" spans="1:45">
      <c r="A196" s="22">
        <v>3</v>
      </c>
      <c r="B196" s="23">
        <v>46265</v>
      </c>
      <c r="C196" s="24" t="s">
        <v>29</v>
      </c>
      <c r="D196" s="22">
        <v>249900</v>
      </c>
      <c r="F196" s="11" t="s">
        <v>27</v>
      </c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72">
        <v>2731</v>
      </c>
      <c r="X196" s="74"/>
      <c r="Y196" s="89"/>
      <c r="Z196" s="11">
        <v>6000</v>
      </c>
      <c r="AA196" s="75"/>
      <c r="AB196" s="75"/>
      <c r="AC196" s="75">
        <v>2000</v>
      </c>
      <c r="AE196" s="50" t="s">
        <v>116</v>
      </c>
      <c r="AF196" s="90"/>
      <c r="AG196" s="90"/>
      <c r="AH196" s="90"/>
      <c r="AI196" s="90"/>
      <c r="AJ196" s="90"/>
      <c r="AK196" s="90"/>
      <c r="AL196" s="90"/>
      <c r="AM196" s="90"/>
      <c r="AN196" s="90"/>
      <c r="AO196" s="90"/>
      <c r="AP196" s="90"/>
      <c r="AQ196" s="90"/>
      <c r="AR196" s="90"/>
      <c r="AS196" s="90"/>
    </row>
    <row r="197" spans="1:45" ht="15" thickBot="1">
      <c r="A197" s="22">
        <v>4</v>
      </c>
      <c r="B197" s="23">
        <v>46265</v>
      </c>
      <c r="C197" s="24" t="s">
        <v>122</v>
      </c>
      <c r="D197" s="22">
        <v>272999</v>
      </c>
      <c r="F197" s="11" t="s">
        <v>27</v>
      </c>
      <c r="G197" s="2"/>
      <c r="H197" s="2"/>
      <c r="I197" s="11"/>
      <c r="J197" s="2"/>
      <c r="K197" s="2"/>
      <c r="L197" s="2"/>
      <c r="M197" s="2"/>
      <c r="N197" s="2"/>
      <c r="O197" s="11"/>
      <c r="P197" s="2"/>
      <c r="Q197" s="2"/>
      <c r="R197" s="2"/>
      <c r="S197" s="2"/>
      <c r="T197" s="11"/>
      <c r="U197" s="2"/>
      <c r="V197" s="2"/>
      <c r="W197" s="85"/>
      <c r="X197" s="74"/>
      <c r="Y197" s="89"/>
      <c r="Z197" s="11"/>
      <c r="AA197" s="75"/>
      <c r="AB197" s="75"/>
      <c r="AC197" s="75"/>
      <c r="AE197" s="99" t="s">
        <v>117</v>
      </c>
      <c r="AF197" s="92"/>
      <c r="AG197" s="92"/>
      <c r="AH197" s="92"/>
      <c r="AI197" s="92"/>
      <c r="AJ197" s="90"/>
      <c r="AK197" s="90"/>
      <c r="AL197" s="90"/>
      <c r="AM197" s="90"/>
      <c r="AN197" s="90"/>
      <c r="AO197" s="90"/>
      <c r="AP197" s="90"/>
      <c r="AQ197" s="90"/>
      <c r="AR197" s="90"/>
      <c r="AS197" s="90"/>
    </row>
    <row r="198" spans="1:45" ht="15" thickBot="1">
      <c r="A198" s="22">
        <v>5</v>
      </c>
      <c r="B198" s="23">
        <v>46265</v>
      </c>
      <c r="C198" s="24" t="s">
        <v>156</v>
      </c>
      <c r="D198" s="22">
        <v>77100</v>
      </c>
      <c r="F198" s="11" t="s">
        <v>27</v>
      </c>
      <c r="G198" s="2"/>
      <c r="H198" s="2"/>
      <c r="I198" s="11"/>
      <c r="J198" s="2"/>
      <c r="K198" s="2"/>
      <c r="L198" s="2"/>
      <c r="M198" s="2"/>
      <c r="N198" s="2"/>
      <c r="O198" s="11"/>
      <c r="P198" s="2"/>
      <c r="Q198" s="2"/>
      <c r="R198" s="2"/>
      <c r="S198" s="2"/>
      <c r="T198" s="11"/>
      <c r="U198" s="2"/>
      <c r="V198" s="2"/>
      <c r="W198" s="85"/>
      <c r="X198" s="74"/>
      <c r="Y198" s="89"/>
      <c r="Z198" s="11"/>
      <c r="AA198" s="75"/>
      <c r="AB198" s="75"/>
      <c r="AC198" s="75"/>
      <c r="AD198" s="93" t="s">
        <v>89</v>
      </c>
      <c r="AE198" s="94">
        <f>SUM(AF198:AS198)</f>
        <v>0</v>
      </c>
      <c r="AF198" s="95">
        <f t="shared" ref="AF198:AG198" si="99">SUM(AF194:AF197)</f>
        <v>0</v>
      </c>
      <c r="AG198" s="95">
        <f t="shared" si="99"/>
        <v>0</v>
      </c>
      <c r="AH198" s="95">
        <f>SUM(AH194:AH197)</f>
        <v>0</v>
      </c>
      <c r="AI198" s="95">
        <f t="shared" ref="AI198:AS198" si="100">SUM(AI194:AI197)</f>
        <v>0</v>
      </c>
      <c r="AJ198" s="95">
        <f t="shared" si="100"/>
        <v>0</v>
      </c>
      <c r="AK198" s="95">
        <f t="shared" si="100"/>
        <v>0</v>
      </c>
      <c r="AL198" s="95">
        <f t="shared" si="100"/>
        <v>0</v>
      </c>
      <c r="AM198" s="95">
        <f t="shared" si="100"/>
        <v>0</v>
      </c>
      <c r="AN198" s="95">
        <f t="shared" si="100"/>
        <v>0</v>
      </c>
      <c r="AO198" s="95">
        <f t="shared" si="100"/>
        <v>0</v>
      </c>
      <c r="AP198" s="95">
        <f t="shared" si="100"/>
        <v>0</v>
      </c>
      <c r="AQ198" s="95">
        <f t="shared" si="100"/>
        <v>0</v>
      </c>
      <c r="AR198" s="95">
        <f t="shared" si="100"/>
        <v>0</v>
      </c>
      <c r="AS198" s="95">
        <f t="shared" si="100"/>
        <v>0</v>
      </c>
    </row>
    <row r="199" spans="1:45" ht="15" thickBot="1">
      <c r="A199" s="22">
        <v>6</v>
      </c>
      <c r="B199" s="23">
        <v>46265</v>
      </c>
      <c r="C199" s="24" t="s">
        <v>30</v>
      </c>
      <c r="D199" s="22">
        <v>10149</v>
      </c>
      <c r="F199" s="11" t="s">
        <v>27</v>
      </c>
      <c r="G199" s="2"/>
      <c r="H199" s="2"/>
      <c r="I199" s="11"/>
      <c r="J199" s="2"/>
      <c r="K199" s="2"/>
      <c r="L199" s="2"/>
      <c r="M199" s="2"/>
      <c r="N199" s="2"/>
      <c r="O199" s="11"/>
      <c r="P199" s="2"/>
      <c r="Q199" s="2"/>
      <c r="R199" s="2"/>
      <c r="S199" s="2"/>
      <c r="T199" s="11"/>
      <c r="U199" s="2"/>
      <c r="V199" s="2"/>
      <c r="W199" s="85"/>
      <c r="X199" s="74"/>
      <c r="Y199" s="89"/>
      <c r="Z199" s="11"/>
      <c r="AA199" s="75"/>
      <c r="AB199" s="75"/>
      <c r="AC199" s="75"/>
    </row>
    <row r="200" spans="1:45" ht="29.4" thickBot="1">
      <c r="A200" s="22">
        <v>7</v>
      </c>
      <c r="B200" s="23">
        <v>46265</v>
      </c>
      <c r="C200" s="24" t="s">
        <v>31</v>
      </c>
      <c r="D200" s="22">
        <v>21800</v>
      </c>
      <c r="F200" s="37" t="s">
        <v>33</v>
      </c>
      <c r="G200" s="3">
        <f>SUM(G194:G199)</f>
        <v>213425</v>
      </c>
      <c r="H200" s="3">
        <f>SUM(H194:H199)</f>
        <v>26562</v>
      </c>
      <c r="I200" s="3">
        <f t="shared" ref="I200:L200" si="101">SUM(I194:I199)</f>
        <v>204724</v>
      </c>
      <c r="J200" s="3">
        <f t="shared" si="101"/>
        <v>22766</v>
      </c>
      <c r="K200" s="3">
        <f t="shared" si="101"/>
        <v>204013</v>
      </c>
      <c r="L200" s="3">
        <f t="shared" si="101"/>
        <v>22759</v>
      </c>
      <c r="M200" s="3"/>
      <c r="N200" s="3"/>
      <c r="O200" s="3">
        <f>SUM(O194:O199)</f>
        <v>186466</v>
      </c>
      <c r="P200" s="3">
        <f t="shared" ref="P200:V200" si="102">SUM(P194:P199)</f>
        <v>22765.07</v>
      </c>
      <c r="Q200" s="3">
        <f t="shared" si="102"/>
        <v>309604</v>
      </c>
      <c r="R200" s="3">
        <f t="shared" si="102"/>
        <v>30363.5</v>
      </c>
      <c r="S200" s="3">
        <f t="shared" si="102"/>
        <v>212179</v>
      </c>
      <c r="T200" s="3">
        <f t="shared" si="102"/>
        <v>214017.13</v>
      </c>
      <c r="U200" s="3">
        <f t="shared" si="102"/>
        <v>205207</v>
      </c>
      <c r="V200" s="3">
        <f t="shared" si="102"/>
        <v>99304</v>
      </c>
      <c r="W200" s="3">
        <f>SUM(W194:W199)</f>
        <v>38240</v>
      </c>
      <c r="X200" s="52">
        <f t="shared" ref="X200:AC200" si="103">SUM(X194:X199)</f>
        <v>0</v>
      </c>
      <c r="Y200" s="52">
        <f t="shared" si="103"/>
        <v>8000</v>
      </c>
      <c r="Z200" s="52">
        <f t="shared" si="103"/>
        <v>27000</v>
      </c>
      <c r="AA200" s="52">
        <f t="shared" si="103"/>
        <v>0</v>
      </c>
      <c r="AB200" s="52">
        <f t="shared" si="103"/>
        <v>0</v>
      </c>
      <c r="AC200" s="52">
        <f t="shared" si="103"/>
        <v>6500</v>
      </c>
    </row>
    <row r="201" spans="1:45" ht="28.8">
      <c r="A201" s="22">
        <v>8</v>
      </c>
      <c r="B201" s="23">
        <v>46265</v>
      </c>
      <c r="C201" s="24" t="s">
        <v>114</v>
      </c>
      <c r="D201" s="22">
        <v>30000</v>
      </c>
      <c r="F201" s="41" t="s">
        <v>35</v>
      </c>
      <c r="G201" s="36">
        <v>213424.77</v>
      </c>
      <c r="H201" s="36">
        <v>19121.25</v>
      </c>
      <c r="I201" s="36">
        <v>204724</v>
      </c>
      <c r="J201" s="36">
        <v>16388.07</v>
      </c>
      <c r="K201" s="36">
        <v>204013</v>
      </c>
      <c r="L201" s="36">
        <v>16388.07</v>
      </c>
      <c r="M201" s="36"/>
      <c r="N201" s="36"/>
      <c r="O201" s="36">
        <v>186466</v>
      </c>
      <c r="P201" s="36">
        <v>16388.07</v>
      </c>
      <c r="Q201" s="36">
        <v>309604.52</v>
      </c>
      <c r="R201" s="36">
        <v>21852.5</v>
      </c>
      <c r="S201" s="36">
        <v>212179.1</v>
      </c>
      <c r="T201" s="36">
        <v>214017.1</v>
      </c>
      <c r="U201" s="36">
        <v>205206.6</v>
      </c>
      <c r="V201" s="36">
        <v>99303.81</v>
      </c>
      <c r="W201" s="17"/>
      <c r="X201" s="17"/>
      <c r="Y201" s="17"/>
      <c r="Z201" s="17"/>
      <c r="AA201" s="17"/>
      <c r="AB201" s="17"/>
      <c r="AC201" s="17"/>
    </row>
    <row r="202" spans="1:45">
      <c r="A202" s="22">
        <v>9</v>
      </c>
      <c r="B202" s="23">
        <v>46265</v>
      </c>
      <c r="C202" s="24" t="s">
        <v>115</v>
      </c>
      <c r="D202" s="22">
        <v>41979</v>
      </c>
      <c r="F202" s="43" t="s">
        <v>84</v>
      </c>
      <c r="G202" s="51">
        <f t="shared" ref="G202" si="104">(G201-G200)</f>
        <v>-0.23000000001047738</v>
      </c>
      <c r="H202" s="51">
        <f>(H201-H200)</f>
        <v>-7440.75</v>
      </c>
      <c r="I202" s="51">
        <f t="shared" ref="I202:L202" si="105">(I201-I200)</f>
        <v>0</v>
      </c>
      <c r="J202" s="51">
        <f t="shared" si="105"/>
        <v>-6377.93</v>
      </c>
      <c r="K202" s="51">
        <f t="shared" si="105"/>
        <v>0</v>
      </c>
      <c r="L202" s="51">
        <f t="shared" si="105"/>
        <v>-6370.93</v>
      </c>
      <c r="M202" s="51"/>
      <c r="N202" s="51"/>
      <c r="O202" s="51">
        <f>(O201-O200)</f>
        <v>0</v>
      </c>
      <c r="P202" s="51">
        <f>(P201-P200)</f>
        <v>-6377</v>
      </c>
      <c r="Q202" s="51">
        <f t="shared" ref="Q202:R202" si="106">(Q201-Q200)</f>
        <v>0.52000000001862645</v>
      </c>
      <c r="R202" s="51">
        <f t="shared" si="106"/>
        <v>-8511</v>
      </c>
      <c r="S202" s="51">
        <f>(S201-S200)</f>
        <v>0.10000000000582077</v>
      </c>
      <c r="T202" s="51">
        <f t="shared" ref="T202:U202" si="107">(T201-T200)</f>
        <v>-2.9999999998835847E-2</v>
      </c>
      <c r="U202" s="51">
        <f t="shared" si="107"/>
        <v>-0.39999999999417923</v>
      </c>
      <c r="V202" s="51">
        <f>(V201-V200)</f>
        <v>-0.19000000000232831</v>
      </c>
      <c r="W202" s="28"/>
      <c r="X202" s="28"/>
      <c r="Y202" s="28"/>
      <c r="Z202" s="28"/>
      <c r="AA202" s="28"/>
      <c r="AB202" s="28"/>
      <c r="AC202" s="28"/>
    </row>
    <row r="203" spans="1:45" ht="43.2">
      <c r="A203" s="22">
        <v>10</v>
      </c>
      <c r="B203" s="23">
        <v>46265</v>
      </c>
      <c r="C203" s="24" t="s">
        <v>170</v>
      </c>
      <c r="D203" s="22">
        <v>68570</v>
      </c>
      <c r="F203" s="4" t="s">
        <v>4</v>
      </c>
      <c r="G203" s="4" t="s">
        <v>38</v>
      </c>
      <c r="H203" s="5" t="s">
        <v>155</v>
      </c>
      <c r="I203" s="5" t="s">
        <v>142</v>
      </c>
      <c r="J203" s="5" t="s">
        <v>157</v>
      </c>
      <c r="K203" s="5" t="s">
        <v>141</v>
      </c>
      <c r="L203" s="29" t="s">
        <v>144</v>
      </c>
      <c r="M203" s="29" t="s">
        <v>128</v>
      </c>
      <c r="N203" s="26" t="s">
        <v>45</v>
      </c>
      <c r="O203" s="26" t="s">
        <v>46</v>
      </c>
      <c r="P203" s="26" t="s">
        <v>114</v>
      </c>
      <c r="Q203" s="26" t="s">
        <v>115</v>
      </c>
      <c r="R203" s="27" t="s">
        <v>50</v>
      </c>
      <c r="S203" s="29" t="s">
        <v>51</v>
      </c>
      <c r="T203" s="29" t="s">
        <v>172</v>
      </c>
      <c r="U203" s="107" t="s">
        <v>174</v>
      </c>
      <c r="V203" s="107" t="s">
        <v>178</v>
      </c>
      <c r="W203" s="107" t="s">
        <v>179</v>
      </c>
      <c r="X203" s="107" t="s">
        <v>186</v>
      </c>
      <c r="Y203" s="107" t="s">
        <v>187</v>
      </c>
      <c r="Z203" s="107" t="s">
        <v>188</v>
      </c>
      <c r="AA203" s="107" t="s">
        <v>189</v>
      </c>
      <c r="AB203" s="107" t="s">
        <v>190</v>
      </c>
      <c r="AC203" s="107" t="s">
        <v>193</v>
      </c>
      <c r="AD203" s="107" t="s">
        <v>191</v>
      </c>
      <c r="AE203" s="107" t="s">
        <v>192</v>
      </c>
    </row>
    <row r="204" spans="1:45">
      <c r="A204" s="22">
        <v>11</v>
      </c>
      <c r="B204" s="23">
        <v>46265</v>
      </c>
      <c r="C204" s="24" t="s">
        <v>171</v>
      </c>
      <c r="D204" s="22">
        <v>339330</v>
      </c>
      <c r="F204" s="11" t="s">
        <v>3</v>
      </c>
      <c r="G204" s="16">
        <v>46280</v>
      </c>
      <c r="H204" s="16">
        <v>46280</v>
      </c>
      <c r="I204" s="16">
        <v>46280</v>
      </c>
      <c r="J204" s="16">
        <v>46280</v>
      </c>
      <c r="K204" s="16">
        <v>46280</v>
      </c>
      <c r="L204" s="16">
        <v>46280</v>
      </c>
      <c r="M204" s="16">
        <v>46280</v>
      </c>
      <c r="N204" s="16">
        <v>46280</v>
      </c>
      <c r="O204" s="16">
        <v>46280</v>
      </c>
      <c r="P204" s="16">
        <v>46280</v>
      </c>
      <c r="Q204" s="16">
        <v>46280</v>
      </c>
      <c r="R204" s="16">
        <v>46280</v>
      </c>
      <c r="S204" s="16">
        <v>46280</v>
      </c>
      <c r="T204" s="16">
        <v>46280</v>
      </c>
      <c r="U204" s="105">
        <v>46280</v>
      </c>
      <c r="V204" s="105">
        <v>46280</v>
      </c>
      <c r="W204" s="105">
        <v>46280</v>
      </c>
      <c r="X204" s="105">
        <v>46280</v>
      </c>
      <c r="Y204" s="105">
        <v>46280</v>
      </c>
      <c r="Z204" s="105">
        <v>46280</v>
      </c>
      <c r="AA204" s="105">
        <v>46280</v>
      </c>
      <c r="AB204" s="105">
        <v>46280</v>
      </c>
      <c r="AC204" s="105">
        <v>46280</v>
      </c>
      <c r="AD204" s="105">
        <v>46280</v>
      </c>
      <c r="AE204" s="105">
        <v>46280</v>
      </c>
    </row>
    <row r="205" spans="1:45" ht="15" thickBot="1">
      <c r="A205" s="22">
        <v>12</v>
      </c>
      <c r="B205" s="23">
        <v>46265</v>
      </c>
      <c r="C205" s="24" t="s">
        <v>128</v>
      </c>
      <c r="D205" s="22">
        <v>6000</v>
      </c>
      <c r="F205" s="46" t="s">
        <v>59</v>
      </c>
      <c r="G205" s="46">
        <v>249900</v>
      </c>
      <c r="H205" s="46">
        <v>446560</v>
      </c>
      <c r="I205" s="46">
        <v>272999</v>
      </c>
      <c r="J205" s="46">
        <v>77100</v>
      </c>
      <c r="K205" s="46">
        <v>100000</v>
      </c>
      <c r="L205" s="46">
        <v>269937</v>
      </c>
      <c r="M205" s="46">
        <v>6000</v>
      </c>
      <c r="N205" s="46">
        <v>10149</v>
      </c>
      <c r="O205" s="46">
        <v>21800</v>
      </c>
      <c r="P205" s="46">
        <v>30000</v>
      </c>
      <c r="Q205" s="46">
        <v>41979</v>
      </c>
      <c r="R205" s="46">
        <v>339330</v>
      </c>
      <c r="S205" s="46">
        <v>68570</v>
      </c>
      <c r="T205" s="46">
        <v>4750</v>
      </c>
      <c r="U205" s="106">
        <v>11965</v>
      </c>
      <c r="V205" s="106">
        <v>5900</v>
      </c>
      <c r="W205" s="106">
        <v>10000</v>
      </c>
      <c r="X205" s="106">
        <v>28260</v>
      </c>
      <c r="Y205" s="106">
        <v>45000</v>
      </c>
      <c r="Z205" s="106">
        <v>6000</v>
      </c>
      <c r="AA205" s="106">
        <v>43000</v>
      </c>
      <c r="AB205" s="106">
        <v>3000</v>
      </c>
      <c r="AC205" s="106">
        <v>12914</v>
      </c>
      <c r="AD205" s="106">
        <v>1200</v>
      </c>
      <c r="AE205" s="106">
        <v>3190</v>
      </c>
    </row>
    <row r="206" spans="1:45" ht="43.8" thickBot="1">
      <c r="A206" s="22">
        <v>13</v>
      </c>
      <c r="B206" s="23">
        <v>46265</v>
      </c>
      <c r="C206" s="24" t="s">
        <v>144</v>
      </c>
      <c r="D206" s="22">
        <v>269937</v>
      </c>
      <c r="F206" s="53" t="s">
        <v>81</v>
      </c>
      <c r="G206" s="54">
        <f>SUM(G201:V201)</f>
        <v>1939076.8600000003</v>
      </c>
      <c r="I206" s="55" t="s">
        <v>33</v>
      </c>
      <c r="J206" s="56">
        <f>SUM(G200:V200)</f>
        <v>1974154.6999999997</v>
      </c>
      <c r="L206" s="63" t="s">
        <v>77</v>
      </c>
      <c r="M206" s="64">
        <f>(G206-J206)</f>
        <v>-35077.839999999385</v>
      </c>
      <c r="O206" s="57" t="s">
        <v>92</v>
      </c>
      <c r="P206" s="58">
        <f>SUM(G205:AE205)</f>
        <v>2109503</v>
      </c>
      <c r="Q206" s="17"/>
      <c r="R206" s="59" t="s">
        <v>82</v>
      </c>
      <c r="S206" s="60">
        <f>SUM(X200:AC200)</f>
        <v>41500</v>
      </c>
      <c r="T206" s="32"/>
      <c r="U206" s="17"/>
    </row>
    <row r="207" spans="1:45">
      <c r="A207" s="22">
        <v>14</v>
      </c>
      <c r="B207" s="23">
        <v>46265</v>
      </c>
      <c r="C207" s="24" t="s">
        <v>172</v>
      </c>
      <c r="D207" s="22">
        <v>4750</v>
      </c>
    </row>
    <row r="208" spans="1:45" ht="18.600000000000001" thickBot="1">
      <c r="A208" s="119" t="s">
        <v>199</v>
      </c>
      <c r="B208" s="120"/>
      <c r="C208" s="120"/>
      <c r="D208" s="120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7"/>
      <c r="V208" s="7"/>
      <c r="W208" s="7"/>
      <c r="X208" s="7"/>
      <c r="Y208" s="7"/>
      <c r="Z208" s="7"/>
      <c r="AA208" s="115"/>
      <c r="AB208" s="116"/>
      <c r="AC208" s="97"/>
      <c r="AE208" s="117" t="s">
        <v>80</v>
      </c>
      <c r="AF208" s="118"/>
      <c r="AG208" s="118"/>
      <c r="AH208" s="118"/>
      <c r="AI208" s="118"/>
      <c r="AJ208" s="118"/>
      <c r="AK208" s="118"/>
      <c r="AL208" s="118"/>
      <c r="AM208" s="118"/>
      <c r="AN208" s="118"/>
      <c r="AO208" s="118"/>
      <c r="AP208" s="118"/>
      <c r="AQ208" s="118"/>
      <c r="AR208" s="118"/>
      <c r="AS208" s="118"/>
    </row>
    <row r="209" spans="1:45" ht="43.8" thickBot="1">
      <c r="A209" s="8" t="s">
        <v>2</v>
      </c>
      <c r="B209" s="8" t="s">
        <v>3</v>
      </c>
      <c r="C209" s="8" t="s">
        <v>4</v>
      </c>
      <c r="D209" s="8" t="s">
        <v>5</v>
      </c>
      <c r="F209" s="4" t="s">
        <v>6</v>
      </c>
      <c r="G209" s="4" t="s">
        <v>7</v>
      </c>
      <c r="H209" s="4" t="s">
        <v>8</v>
      </c>
      <c r="I209" s="5" t="s">
        <v>9</v>
      </c>
      <c r="J209" s="5" t="s">
        <v>10</v>
      </c>
      <c r="K209" s="5" t="s">
        <v>11</v>
      </c>
      <c r="L209" s="5" t="s">
        <v>12</v>
      </c>
      <c r="M209" s="5" t="s">
        <v>13</v>
      </c>
      <c r="N209" s="5" t="s">
        <v>14</v>
      </c>
      <c r="O209" s="5" t="s">
        <v>15</v>
      </c>
      <c r="P209" s="5" t="s">
        <v>16</v>
      </c>
      <c r="Q209" s="5" t="s">
        <v>17</v>
      </c>
      <c r="R209" s="5" t="s">
        <v>18</v>
      </c>
      <c r="S209" s="5" t="s">
        <v>19</v>
      </c>
      <c r="T209" s="5" t="s">
        <v>20</v>
      </c>
      <c r="U209" s="5" t="s">
        <v>21</v>
      </c>
      <c r="V209" s="5" t="s">
        <v>22</v>
      </c>
      <c r="W209" s="70" t="s">
        <v>24</v>
      </c>
      <c r="X209" s="48" t="s">
        <v>23</v>
      </c>
      <c r="Y209" s="86" t="s">
        <v>105</v>
      </c>
      <c r="Z209" s="48" t="s">
        <v>70</v>
      </c>
      <c r="AA209" s="68" t="s">
        <v>104</v>
      </c>
      <c r="AB209" s="68" t="s">
        <v>113</v>
      </c>
      <c r="AC209" s="68" t="s">
        <v>133</v>
      </c>
      <c r="AE209" s="100" t="s">
        <v>124</v>
      </c>
      <c r="AF209" s="91" t="s">
        <v>7</v>
      </c>
      <c r="AG209" s="91" t="s">
        <v>9</v>
      </c>
      <c r="AH209" s="91" t="s">
        <v>11</v>
      </c>
      <c r="AI209" s="91" t="s">
        <v>15</v>
      </c>
      <c r="AJ209" s="91" t="s">
        <v>17</v>
      </c>
      <c r="AK209" s="91" t="s">
        <v>19</v>
      </c>
      <c r="AL209" s="91" t="s">
        <v>20</v>
      </c>
      <c r="AM209" s="91" t="s">
        <v>21</v>
      </c>
      <c r="AN209" s="91" t="s">
        <v>22</v>
      </c>
      <c r="AO209" s="91" t="s">
        <v>8</v>
      </c>
      <c r="AP209" s="91" t="s">
        <v>10</v>
      </c>
      <c r="AQ209" s="91" t="s">
        <v>125</v>
      </c>
      <c r="AR209" s="91" t="s">
        <v>16</v>
      </c>
      <c r="AS209" s="91" t="s">
        <v>18</v>
      </c>
    </row>
    <row r="210" spans="1:45">
      <c r="A210" s="22">
        <v>1</v>
      </c>
      <c r="B210" s="23">
        <v>46295</v>
      </c>
      <c r="C210" s="24" t="s">
        <v>141</v>
      </c>
      <c r="D210" s="22">
        <v>110668</v>
      </c>
      <c r="F210" s="11" t="s">
        <v>27</v>
      </c>
      <c r="G210" s="11">
        <v>196874</v>
      </c>
      <c r="H210" s="12"/>
      <c r="I210" s="11"/>
      <c r="J210" s="12"/>
      <c r="K210" s="11">
        <v>210430</v>
      </c>
      <c r="L210" s="11"/>
      <c r="M210" s="11"/>
      <c r="N210" s="12"/>
      <c r="O210" s="11"/>
      <c r="P210" s="11"/>
      <c r="Q210" s="11"/>
      <c r="R210" s="11"/>
      <c r="S210" s="11"/>
      <c r="T210" s="11">
        <v>233058.48</v>
      </c>
      <c r="U210" s="11"/>
      <c r="V210" s="11"/>
      <c r="W210" s="72"/>
      <c r="X210" s="74"/>
      <c r="Y210" s="74"/>
      <c r="Z210" s="11">
        <v>6000</v>
      </c>
      <c r="AA210" s="75"/>
      <c r="AB210" s="75">
        <v>500</v>
      </c>
      <c r="AC210" s="75">
        <v>2500</v>
      </c>
      <c r="AD210" s="33" t="s">
        <v>78</v>
      </c>
      <c r="AE210" s="50" t="s">
        <v>88</v>
      </c>
      <c r="AF210" s="90"/>
      <c r="AG210" s="90"/>
      <c r="AH210" s="90"/>
      <c r="AI210" s="90"/>
      <c r="AJ210" s="90"/>
      <c r="AK210" s="90"/>
      <c r="AL210" s="90"/>
      <c r="AM210" s="90"/>
      <c r="AN210" s="90"/>
      <c r="AO210" s="90"/>
      <c r="AP210" s="90"/>
      <c r="AQ210" s="90"/>
      <c r="AR210" s="90"/>
      <c r="AS210" s="90"/>
    </row>
    <row r="211" spans="1:45">
      <c r="A211" s="22">
        <v>2</v>
      </c>
      <c r="B211" s="23">
        <v>46295</v>
      </c>
      <c r="C211" s="24" t="s">
        <v>154</v>
      </c>
      <c r="D211" s="22">
        <v>454424</v>
      </c>
      <c r="F211" s="11" t="s">
        <v>27</v>
      </c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72"/>
      <c r="X211" s="74"/>
      <c r="Y211" s="89"/>
      <c r="Z211" s="11">
        <v>6000</v>
      </c>
      <c r="AA211" s="75"/>
      <c r="AB211" s="75"/>
      <c r="AC211" s="75">
        <v>300</v>
      </c>
      <c r="AD211" s="34" t="s">
        <v>79</v>
      </c>
      <c r="AE211" s="50" t="s">
        <v>87</v>
      </c>
      <c r="AF211" s="90"/>
      <c r="AG211" s="90"/>
      <c r="AH211" s="90"/>
      <c r="AI211" s="90"/>
      <c r="AJ211" s="90"/>
      <c r="AK211" s="90"/>
      <c r="AL211" s="90"/>
      <c r="AM211" s="90"/>
      <c r="AN211" s="90"/>
      <c r="AO211" s="90"/>
      <c r="AP211" s="90"/>
      <c r="AQ211" s="90"/>
      <c r="AR211" s="90"/>
      <c r="AS211" s="90"/>
    </row>
    <row r="212" spans="1:45">
      <c r="A212" s="22">
        <v>3</v>
      </c>
      <c r="B212" s="23">
        <v>46295</v>
      </c>
      <c r="C212" s="24" t="s">
        <v>29</v>
      </c>
      <c r="D212" s="22">
        <v>269500</v>
      </c>
      <c r="F212" s="11" t="s">
        <v>27</v>
      </c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72"/>
      <c r="X212" s="74"/>
      <c r="Y212" s="89"/>
      <c r="Z212" s="11"/>
      <c r="AA212" s="75"/>
      <c r="AB212" s="75"/>
      <c r="AC212" s="75">
        <v>2000</v>
      </c>
      <c r="AE212" s="50" t="s">
        <v>116</v>
      </c>
      <c r="AF212" s="90"/>
      <c r="AG212" s="90"/>
      <c r="AH212" s="90"/>
      <c r="AI212" s="90"/>
      <c r="AJ212" s="90"/>
      <c r="AK212" s="90"/>
      <c r="AL212" s="90"/>
      <c r="AM212" s="90"/>
      <c r="AN212" s="90"/>
      <c r="AO212" s="90"/>
      <c r="AP212" s="90"/>
      <c r="AQ212" s="90"/>
      <c r="AR212" s="90"/>
      <c r="AS212" s="90"/>
    </row>
    <row r="213" spans="1:45" ht="15" thickBot="1">
      <c r="A213" s="22">
        <v>4</v>
      </c>
      <c r="B213" s="23">
        <v>46295</v>
      </c>
      <c r="C213" s="24" t="s">
        <v>122</v>
      </c>
      <c r="D213" s="22">
        <v>288400</v>
      </c>
      <c r="F213" s="11" t="s">
        <v>27</v>
      </c>
      <c r="G213" s="2"/>
      <c r="H213" s="2"/>
      <c r="I213" s="11"/>
      <c r="J213" s="2"/>
      <c r="K213" s="2"/>
      <c r="L213" s="2"/>
      <c r="M213" s="2"/>
      <c r="N213" s="2"/>
      <c r="O213" s="11"/>
      <c r="P213" s="2"/>
      <c r="Q213" s="2"/>
      <c r="R213" s="2"/>
      <c r="S213" s="2"/>
      <c r="T213" s="11"/>
      <c r="U213" s="2"/>
      <c r="V213" s="2"/>
      <c r="W213" s="85"/>
      <c r="X213" s="74"/>
      <c r="Y213" s="89"/>
      <c r="Z213" s="11"/>
      <c r="AA213" s="75"/>
      <c r="AB213" s="75"/>
      <c r="AC213" s="75">
        <v>2500</v>
      </c>
      <c r="AE213" s="99" t="s">
        <v>117</v>
      </c>
      <c r="AF213" s="92"/>
      <c r="AG213" s="92"/>
      <c r="AH213" s="92"/>
      <c r="AI213" s="92"/>
      <c r="AJ213" s="90"/>
      <c r="AK213" s="90"/>
      <c r="AL213" s="90"/>
      <c r="AM213" s="90"/>
      <c r="AN213" s="90"/>
      <c r="AO213" s="90"/>
      <c r="AP213" s="90"/>
      <c r="AQ213" s="90"/>
      <c r="AR213" s="90"/>
      <c r="AS213" s="90"/>
    </row>
    <row r="214" spans="1:45" ht="15" thickBot="1">
      <c r="A214" s="22">
        <v>5</v>
      </c>
      <c r="B214" s="23">
        <v>46295</v>
      </c>
      <c r="C214" s="24" t="s">
        <v>156</v>
      </c>
      <c r="D214" s="22">
        <v>85500</v>
      </c>
      <c r="F214" s="11" t="s">
        <v>27</v>
      </c>
      <c r="G214" s="2"/>
      <c r="H214" s="2"/>
      <c r="I214" s="11"/>
      <c r="J214" s="2"/>
      <c r="K214" s="2"/>
      <c r="L214" s="2"/>
      <c r="M214" s="2"/>
      <c r="N214" s="2"/>
      <c r="O214" s="11"/>
      <c r="P214" s="2"/>
      <c r="Q214" s="2"/>
      <c r="R214" s="2"/>
      <c r="S214" s="2"/>
      <c r="T214" s="11"/>
      <c r="U214" s="2"/>
      <c r="V214" s="2"/>
      <c r="W214" s="85"/>
      <c r="X214" s="74"/>
      <c r="Y214" s="89"/>
      <c r="Z214" s="11"/>
      <c r="AA214" s="75"/>
      <c r="AB214" s="75"/>
      <c r="AC214" s="75">
        <v>2000</v>
      </c>
      <c r="AD214" s="93" t="s">
        <v>89</v>
      </c>
      <c r="AE214" s="94">
        <f>SUM(AF214:AS214)</f>
        <v>0</v>
      </c>
      <c r="AF214" s="95">
        <f t="shared" ref="AF214:AG214" si="108">SUM(AF210:AF213)</f>
        <v>0</v>
      </c>
      <c r="AG214" s="95">
        <f t="shared" si="108"/>
        <v>0</v>
      </c>
      <c r="AH214" s="95">
        <f>SUM(AH210:AH213)</f>
        <v>0</v>
      </c>
      <c r="AI214" s="95">
        <f t="shared" ref="AI214:AS214" si="109">SUM(AI210:AI213)</f>
        <v>0</v>
      </c>
      <c r="AJ214" s="95">
        <f t="shared" si="109"/>
        <v>0</v>
      </c>
      <c r="AK214" s="95">
        <f t="shared" si="109"/>
        <v>0</v>
      </c>
      <c r="AL214" s="95">
        <f t="shared" si="109"/>
        <v>0</v>
      </c>
      <c r="AM214" s="95">
        <f t="shared" si="109"/>
        <v>0</v>
      </c>
      <c r="AN214" s="95">
        <f t="shared" si="109"/>
        <v>0</v>
      </c>
      <c r="AO214" s="95">
        <f t="shared" si="109"/>
        <v>0</v>
      </c>
      <c r="AP214" s="95">
        <f t="shared" si="109"/>
        <v>0</v>
      </c>
      <c r="AQ214" s="95">
        <f t="shared" si="109"/>
        <v>0</v>
      </c>
      <c r="AR214" s="95">
        <f t="shared" si="109"/>
        <v>0</v>
      </c>
      <c r="AS214" s="95">
        <f t="shared" si="109"/>
        <v>0</v>
      </c>
    </row>
    <row r="215" spans="1:45" ht="15" thickBot="1">
      <c r="A215" s="22">
        <v>6</v>
      </c>
      <c r="B215" s="23">
        <v>46295</v>
      </c>
      <c r="C215" s="24" t="s">
        <v>30</v>
      </c>
      <c r="D215" s="22">
        <v>13551</v>
      </c>
      <c r="F215" s="11" t="s">
        <v>27</v>
      </c>
      <c r="G215" s="2"/>
      <c r="H215" s="2"/>
      <c r="I215" s="11"/>
      <c r="J215" s="2"/>
      <c r="K215" s="2"/>
      <c r="L215" s="2"/>
      <c r="M215" s="2"/>
      <c r="N215" s="2"/>
      <c r="O215" s="11"/>
      <c r="P215" s="2"/>
      <c r="Q215" s="2"/>
      <c r="R215" s="2"/>
      <c r="S215" s="2"/>
      <c r="T215" s="11"/>
      <c r="U215" s="2"/>
      <c r="V215" s="2"/>
      <c r="W215" s="85"/>
      <c r="X215" s="74"/>
      <c r="Y215" s="89"/>
      <c r="Z215" s="11"/>
      <c r="AA215" s="75"/>
      <c r="AB215" s="75"/>
      <c r="AC215" s="75"/>
    </row>
    <row r="216" spans="1:45" ht="29.4" thickBot="1">
      <c r="A216" s="22">
        <v>7</v>
      </c>
      <c r="B216" s="23">
        <v>46295</v>
      </c>
      <c r="C216" s="24" t="s">
        <v>31</v>
      </c>
      <c r="D216" s="22">
        <v>21800</v>
      </c>
      <c r="F216" s="37" t="s">
        <v>33</v>
      </c>
      <c r="G216" s="3">
        <f>SUM(G210:G215)</f>
        <v>196874</v>
      </c>
      <c r="H216" s="3">
        <f>SUM(H210:H215)</f>
        <v>0</v>
      </c>
      <c r="I216" s="3">
        <f t="shared" ref="I216:L216" si="110">SUM(I210:I215)</f>
        <v>0</v>
      </c>
      <c r="J216" s="3">
        <f t="shared" si="110"/>
        <v>0</v>
      </c>
      <c r="K216" s="3">
        <f t="shared" si="110"/>
        <v>210430</v>
      </c>
      <c r="L216" s="3">
        <f t="shared" si="110"/>
        <v>0</v>
      </c>
      <c r="M216" s="3"/>
      <c r="N216" s="3"/>
      <c r="O216" s="3">
        <f>SUM(O210:O215)</f>
        <v>0</v>
      </c>
      <c r="P216" s="3">
        <f t="shared" ref="P216:V216" si="111">SUM(P210:P215)</f>
        <v>0</v>
      </c>
      <c r="Q216" s="3">
        <f t="shared" si="111"/>
        <v>0</v>
      </c>
      <c r="R216" s="3">
        <f t="shared" si="111"/>
        <v>0</v>
      </c>
      <c r="S216" s="3">
        <f t="shared" si="111"/>
        <v>0</v>
      </c>
      <c r="T216" s="3">
        <f t="shared" si="111"/>
        <v>233058.48</v>
      </c>
      <c r="U216" s="3">
        <f t="shared" si="111"/>
        <v>0</v>
      </c>
      <c r="V216" s="3">
        <f t="shared" si="111"/>
        <v>0</v>
      </c>
      <c r="W216" s="3">
        <f>SUM(W210:W215)</f>
        <v>0</v>
      </c>
      <c r="X216" s="52">
        <f t="shared" ref="X216:AC216" si="112">SUM(X210:X215)</f>
        <v>0</v>
      </c>
      <c r="Y216" s="52">
        <f t="shared" si="112"/>
        <v>0</v>
      </c>
      <c r="Z216" s="52">
        <f t="shared" si="112"/>
        <v>12000</v>
      </c>
      <c r="AA216" s="52">
        <f t="shared" si="112"/>
        <v>0</v>
      </c>
      <c r="AB216" s="52">
        <f t="shared" si="112"/>
        <v>500</v>
      </c>
      <c r="AC216" s="52">
        <f t="shared" si="112"/>
        <v>9300</v>
      </c>
    </row>
    <row r="217" spans="1:45" ht="28.8">
      <c r="A217" s="22">
        <v>8</v>
      </c>
      <c r="B217" s="23">
        <v>46295</v>
      </c>
      <c r="C217" s="24" t="s">
        <v>114</v>
      </c>
      <c r="D217" s="22">
        <v>30000</v>
      </c>
      <c r="F217" s="41" t="s">
        <v>35</v>
      </c>
      <c r="G217" s="36">
        <v>198824</v>
      </c>
      <c r="H217" s="36">
        <v>19530</v>
      </c>
      <c r="I217" s="36">
        <v>194430</v>
      </c>
      <c r="J217" s="36">
        <v>16763</v>
      </c>
      <c r="K217" s="36">
        <v>210430</v>
      </c>
      <c r="L217" s="36">
        <v>16763</v>
      </c>
      <c r="M217" s="36"/>
      <c r="N217" s="36"/>
      <c r="O217" s="36">
        <v>171577</v>
      </c>
      <c r="P217" s="36">
        <v>16763</v>
      </c>
      <c r="Q217" s="36">
        <v>314626</v>
      </c>
      <c r="R217" s="36">
        <v>22264.41</v>
      </c>
      <c r="S217" s="36">
        <v>232983.5</v>
      </c>
      <c r="T217" s="36">
        <v>233058.48</v>
      </c>
      <c r="U217" s="36">
        <v>210818.1</v>
      </c>
      <c r="V217" s="36">
        <v>107745.12</v>
      </c>
      <c r="W217" s="17"/>
      <c r="X217" s="17"/>
      <c r="Y217" s="17"/>
      <c r="Z217" s="17"/>
      <c r="AA217" s="17"/>
      <c r="AB217" s="17"/>
      <c r="AC217" s="17"/>
    </row>
    <row r="218" spans="1:45">
      <c r="A218" s="22">
        <v>9</v>
      </c>
      <c r="B218" s="23">
        <v>46295</v>
      </c>
      <c r="C218" s="24" t="s">
        <v>115</v>
      </c>
      <c r="D218" s="22">
        <v>46655</v>
      </c>
      <c r="F218" s="43" t="s">
        <v>84</v>
      </c>
      <c r="G218" s="51">
        <f t="shared" ref="G218" si="113">(G217-G216)</f>
        <v>1950</v>
      </c>
      <c r="H218" s="51">
        <f>(H217-H216)</f>
        <v>19530</v>
      </c>
      <c r="I218" s="51">
        <f t="shared" ref="I218:L218" si="114">(I217-I216)</f>
        <v>194430</v>
      </c>
      <c r="J218" s="51">
        <f t="shared" si="114"/>
        <v>16763</v>
      </c>
      <c r="K218" s="51">
        <f t="shared" si="114"/>
        <v>0</v>
      </c>
      <c r="L218" s="51">
        <f t="shared" si="114"/>
        <v>16763</v>
      </c>
      <c r="M218" s="51"/>
      <c r="N218" s="51"/>
      <c r="O218" s="51">
        <f>(O217-O216)</f>
        <v>171577</v>
      </c>
      <c r="P218" s="51">
        <f>(P217-P216)</f>
        <v>16763</v>
      </c>
      <c r="Q218" s="51">
        <f t="shared" ref="Q218:R218" si="115">(Q217-Q216)</f>
        <v>314626</v>
      </c>
      <c r="R218" s="51">
        <f t="shared" si="115"/>
        <v>22264.41</v>
      </c>
      <c r="S218" s="51">
        <f>(S217-S216)</f>
        <v>232983.5</v>
      </c>
      <c r="T218" s="51">
        <f t="shared" ref="T218:U218" si="116">(T217-T216)</f>
        <v>0</v>
      </c>
      <c r="U218" s="51">
        <f t="shared" si="116"/>
        <v>210818.1</v>
      </c>
      <c r="V218" s="51">
        <f>(V217-V216)</f>
        <v>107745.12</v>
      </c>
      <c r="W218" s="28"/>
      <c r="X218" s="28"/>
      <c r="Y218" s="28"/>
      <c r="Z218" s="28"/>
      <c r="AA218" s="28"/>
      <c r="AB218" s="28"/>
      <c r="AC218" s="28"/>
    </row>
    <row r="219" spans="1:45" ht="28.8">
      <c r="A219" s="22">
        <v>10</v>
      </c>
      <c r="B219" s="23">
        <v>46295</v>
      </c>
      <c r="C219" s="114" t="s">
        <v>200</v>
      </c>
      <c r="D219" s="22">
        <v>61670</v>
      </c>
      <c r="F219" s="4" t="s">
        <v>4</v>
      </c>
      <c r="G219" s="4" t="s">
        <v>38</v>
      </c>
      <c r="H219" s="5" t="s">
        <v>155</v>
      </c>
      <c r="I219" s="5" t="s">
        <v>142</v>
      </c>
      <c r="J219" s="5" t="s">
        <v>157</v>
      </c>
      <c r="K219" s="5" t="s">
        <v>141</v>
      </c>
      <c r="L219" s="29" t="s">
        <v>144</v>
      </c>
      <c r="M219" s="29" t="s">
        <v>128</v>
      </c>
      <c r="N219" s="26" t="s">
        <v>45</v>
      </c>
      <c r="O219" s="26" t="s">
        <v>46</v>
      </c>
      <c r="P219" s="26" t="s">
        <v>114</v>
      </c>
      <c r="Q219" s="26" t="s">
        <v>115</v>
      </c>
      <c r="R219" s="27" t="s">
        <v>50</v>
      </c>
      <c r="S219" s="29" t="s">
        <v>51</v>
      </c>
      <c r="T219" s="29" t="s">
        <v>172</v>
      </c>
      <c r="U219" s="29" t="s">
        <v>48</v>
      </c>
    </row>
    <row r="220" spans="1:45">
      <c r="A220" s="22">
        <v>11</v>
      </c>
      <c r="B220" s="23">
        <v>46295</v>
      </c>
      <c r="C220" s="114" t="s">
        <v>201</v>
      </c>
      <c r="D220" s="22">
        <v>269083</v>
      </c>
      <c r="F220" s="11" t="s">
        <v>3</v>
      </c>
      <c r="G220" s="16">
        <v>46310</v>
      </c>
      <c r="H220" s="16">
        <v>46310</v>
      </c>
      <c r="I220" s="16">
        <v>46310</v>
      </c>
      <c r="J220" s="16">
        <v>46310</v>
      </c>
      <c r="K220" s="16">
        <v>46310</v>
      </c>
      <c r="L220" s="16">
        <v>46310</v>
      </c>
      <c r="M220" s="16">
        <v>46310</v>
      </c>
      <c r="N220" s="16">
        <v>46310</v>
      </c>
      <c r="O220" s="16">
        <v>46310</v>
      </c>
      <c r="P220" s="16">
        <v>46310</v>
      </c>
      <c r="Q220" s="16">
        <v>46310</v>
      </c>
      <c r="R220" s="16">
        <v>46310</v>
      </c>
      <c r="S220" s="16">
        <v>46310</v>
      </c>
      <c r="T220" s="16">
        <v>46310</v>
      </c>
      <c r="U220" s="16">
        <v>46310</v>
      </c>
    </row>
    <row r="221" spans="1:45" ht="15" thickBot="1">
      <c r="A221" s="22">
        <v>12</v>
      </c>
      <c r="B221" s="23">
        <v>46295</v>
      </c>
      <c r="C221" s="24" t="s">
        <v>128</v>
      </c>
      <c r="D221" s="22">
        <v>0</v>
      </c>
      <c r="F221" s="46" t="s">
        <v>59</v>
      </c>
      <c r="G221" s="46">
        <v>269500</v>
      </c>
      <c r="H221" s="46">
        <v>454424</v>
      </c>
      <c r="I221" s="46">
        <v>288400</v>
      </c>
      <c r="J221" s="46">
        <v>85500</v>
      </c>
      <c r="K221" s="46">
        <v>110668</v>
      </c>
      <c r="L221" s="46">
        <v>262675</v>
      </c>
      <c r="M221" s="46">
        <v>0</v>
      </c>
      <c r="N221" s="46">
        <v>13551</v>
      </c>
      <c r="O221" s="46">
        <v>21800</v>
      </c>
      <c r="P221" s="46">
        <v>30000</v>
      </c>
      <c r="Q221" s="46">
        <v>46655</v>
      </c>
      <c r="R221" s="46">
        <v>269083</v>
      </c>
      <c r="S221" s="46">
        <v>61670</v>
      </c>
      <c r="T221" s="46">
        <v>4750</v>
      </c>
      <c r="U221" s="46">
        <v>47900</v>
      </c>
    </row>
    <row r="222" spans="1:45" ht="43.8" thickBot="1">
      <c r="A222" s="22">
        <v>13</v>
      </c>
      <c r="B222" s="23">
        <v>46295</v>
      </c>
      <c r="C222" s="24" t="s">
        <v>144</v>
      </c>
      <c r="D222" s="22">
        <v>262675</v>
      </c>
      <c r="F222" s="53" t="s">
        <v>81</v>
      </c>
      <c r="G222" s="54">
        <f>SUM(G217:V217)</f>
        <v>1966575.6099999999</v>
      </c>
      <c r="I222" s="55" t="s">
        <v>33</v>
      </c>
      <c r="J222" s="56">
        <f>SUM(G216:V216)</f>
        <v>640362.48</v>
      </c>
      <c r="L222" s="63" t="s">
        <v>77</v>
      </c>
      <c r="M222" s="64">
        <f>(G222-J222)</f>
        <v>1326213.1299999999</v>
      </c>
      <c r="O222" s="57" t="s">
        <v>92</v>
      </c>
      <c r="P222" s="58">
        <f>SUM(G221:AE221)</f>
        <v>1966576</v>
      </c>
      <c r="Q222" s="17"/>
      <c r="R222" s="59" t="s">
        <v>82</v>
      </c>
      <c r="S222" s="60">
        <f>SUM(X216:AC216)</f>
        <v>21800</v>
      </c>
      <c r="T222" s="32"/>
      <c r="U222" s="17"/>
    </row>
    <row r="223" spans="1:45">
      <c r="A223" s="22">
        <v>16</v>
      </c>
      <c r="B223" s="23">
        <v>46234</v>
      </c>
      <c r="C223" s="24" t="s">
        <v>48</v>
      </c>
      <c r="D223" s="22">
        <v>47900</v>
      </c>
    </row>
    <row r="224" spans="1:45">
      <c r="A224" s="22">
        <v>14</v>
      </c>
      <c r="B224" s="23">
        <v>46295</v>
      </c>
      <c r="C224" s="24" t="s">
        <v>172</v>
      </c>
      <c r="D224" s="22">
        <v>4750</v>
      </c>
    </row>
    <row r="225" spans="1:45" ht="18.600000000000001" thickBot="1">
      <c r="A225" s="119" t="s">
        <v>202</v>
      </c>
      <c r="B225" s="120"/>
      <c r="C225" s="120"/>
      <c r="D225" s="120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7"/>
      <c r="V225" s="7"/>
      <c r="W225" s="7"/>
      <c r="X225" s="7"/>
      <c r="Y225" s="7"/>
      <c r="Z225" s="7"/>
      <c r="AA225" s="115"/>
      <c r="AB225" s="116"/>
      <c r="AC225" s="97"/>
      <c r="AE225" s="117" t="s">
        <v>80</v>
      </c>
      <c r="AF225" s="118"/>
      <c r="AG225" s="118"/>
      <c r="AH225" s="118"/>
      <c r="AI225" s="118"/>
      <c r="AJ225" s="118"/>
      <c r="AK225" s="118"/>
      <c r="AL225" s="118"/>
      <c r="AM225" s="118"/>
      <c r="AN225" s="118"/>
      <c r="AO225" s="118"/>
      <c r="AP225" s="118"/>
      <c r="AQ225" s="118"/>
      <c r="AR225" s="118"/>
      <c r="AS225" s="118"/>
    </row>
    <row r="226" spans="1:45" ht="43.8" thickBot="1">
      <c r="A226" s="8" t="s">
        <v>2</v>
      </c>
      <c r="B226" s="8" t="s">
        <v>3</v>
      </c>
      <c r="C226" s="8" t="s">
        <v>4</v>
      </c>
      <c r="D226" s="8" t="s">
        <v>5</v>
      </c>
      <c r="F226" s="4" t="s">
        <v>6</v>
      </c>
      <c r="G226" s="4" t="s">
        <v>7</v>
      </c>
      <c r="H226" s="4" t="s">
        <v>8</v>
      </c>
      <c r="I226" s="5" t="s">
        <v>9</v>
      </c>
      <c r="J226" s="5" t="s">
        <v>10</v>
      </c>
      <c r="K226" s="5" t="s">
        <v>11</v>
      </c>
      <c r="L226" s="5" t="s">
        <v>12</v>
      </c>
      <c r="M226" s="5" t="s">
        <v>13</v>
      </c>
      <c r="N226" s="5" t="s">
        <v>14</v>
      </c>
      <c r="O226" s="5" t="s">
        <v>15</v>
      </c>
      <c r="P226" s="5" t="s">
        <v>16</v>
      </c>
      <c r="Q226" s="5" t="s">
        <v>17</v>
      </c>
      <c r="R226" s="5" t="s">
        <v>18</v>
      </c>
      <c r="S226" s="5" t="s">
        <v>19</v>
      </c>
      <c r="T226" s="5" t="s">
        <v>20</v>
      </c>
      <c r="U226" s="5" t="s">
        <v>21</v>
      </c>
      <c r="V226" s="5" t="s">
        <v>22</v>
      </c>
      <c r="W226" s="70" t="s">
        <v>24</v>
      </c>
      <c r="X226" s="48" t="s">
        <v>23</v>
      </c>
      <c r="Y226" s="86" t="s">
        <v>105</v>
      </c>
      <c r="Z226" s="48" t="s">
        <v>70</v>
      </c>
      <c r="AA226" s="68" t="s">
        <v>104</v>
      </c>
      <c r="AB226" s="68" t="s">
        <v>113</v>
      </c>
      <c r="AC226" s="68" t="s">
        <v>133</v>
      </c>
      <c r="AE226" s="100" t="s">
        <v>124</v>
      </c>
      <c r="AF226" s="91" t="s">
        <v>7</v>
      </c>
      <c r="AG226" s="91" t="s">
        <v>9</v>
      </c>
      <c r="AH226" s="91" t="s">
        <v>11</v>
      </c>
      <c r="AI226" s="91" t="s">
        <v>15</v>
      </c>
      <c r="AJ226" s="91" t="s">
        <v>17</v>
      </c>
      <c r="AK226" s="91" t="s">
        <v>19</v>
      </c>
      <c r="AL226" s="91" t="s">
        <v>20</v>
      </c>
      <c r="AM226" s="91" t="s">
        <v>21</v>
      </c>
      <c r="AN226" s="91" t="s">
        <v>22</v>
      </c>
      <c r="AO226" s="91" t="s">
        <v>8</v>
      </c>
      <c r="AP226" s="91" t="s">
        <v>10</v>
      </c>
      <c r="AQ226" s="91" t="s">
        <v>125</v>
      </c>
      <c r="AR226" s="91" t="s">
        <v>16</v>
      </c>
      <c r="AS226" s="91" t="s">
        <v>18</v>
      </c>
    </row>
    <row r="227" spans="1:45">
      <c r="A227" s="22">
        <v>1</v>
      </c>
      <c r="B227" s="23">
        <v>46326</v>
      </c>
      <c r="C227" s="24" t="s">
        <v>141</v>
      </c>
      <c r="D227" s="22"/>
      <c r="F227" s="11" t="s">
        <v>27</v>
      </c>
      <c r="G227" s="11"/>
      <c r="H227" s="12"/>
      <c r="I227" s="11"/>
      <c r="J227" s="12"/>
      <c r="K227" s="11"/>
      <c r="L227" s="11"/>
      <c r="M227" s="11"/>
      <c r="N227" s="12"/>
      <c r="O227" s="11"/>
      <c r="P227" s="11"/>
      <c r="Q227" s="11"/>
      <c r="R227" s="11"/>
      <c r="S227" s="11"/>
      <c r="T227" s="11"/>
      <c r="U227" s="11"/>
      <c r="V227" s="11"/>
      <c r="W227" s="72"/>
      <c r="X227" s="74"/>
      <c r="Y227" s="74"/>
      <c r="Z227" s="11">
        <v>15000</v>
      </c>
      <c r="AA227" s="75"/>
      <c r="AB227" s="75"/>
      <c r="AC227" s="75">
        <v>2500</v>
      </c>
      <c r="AD227" s="33" t="s">
        <v>78</v>
      </c>
      <c r="AE227" s="50" t="s">
        <v>88</v>
      </c>
      <c r="AF227" s="90"/>
      <c r="AG227" s="90"/>
      <c r="AH227" s="90"/>
      <c r="AI227" s="90"/>
      <c r="AJ227" s="90"/>
      <c r="AK227" s="90"/>
      <c r="AL227" s="90"/>
      <c r="AM227" s="90"/>
      <c r="AN227" s="90"/>
      <c r="AO227" s="90"/>
      <c r="AP227" s="90"/>
      <c r="AQ227" s="90"/>
      <c r="AR227" s="90"/>
      <c r="AS227" s="90"/>
    </row>
    <row r="228" spans="1:45">
      <c r="A228" s="22">
        <v>2</v>
      </c>
      <c r="B228" s="23">
        <v>46326</v>
      </c>
      <c r="C228" s="24" t="s">
        <v>154</v>
      </c>
      <c r="D228" s="22"/>
      <c r="F228" s="11" t="s">
        <v>27</v>
      </c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72"/>
      <c r="X228" s="74"/>
      <c r="Y228" s="89"/>
      <c r="Z228" s="11">
        <v>15000</v>
      </c>
      <c r="AA228" s="75"/>
      <c r="AB228" s="75"/>
      <c r="AC228" s="75">
        <v>1500</v>
      </c>
      <c r="AD228" s="34" t="s">
        <v>79</v>
      </c>
      <c r="AE228" s="50" t="s">
        <v>87</v>
      </c>
      <c r="AF228" s="90"/>
      <c r="AG228" s="90"/>
      <c r="AH228" s="90"/>
      <c r="AI228" s="90"/>
      <c r="AJ228" s="90"/>
      <c r="AK228" s="90"/>
      <c r="AL228" s="90"/>
      <c r="AM228" s="90"/>
      <c r="AN228" s="90"/>
      <c r="AO228" s="90"/>
      <c r="AP228" s="90"/>
      <c r="AQ228" s="90"/>
      <c r="AR228" s="90"/>
      <c r="AS228" s="90"/>
    </row>
    <row r="229" spans="1:45">
      <c r="A229" s="22">
        <v>3</v>
      </c>
      <c r="B229" s="23">
        <v>46326</v>
      </c>
      <c r="C229" s="24" t="s">
        <v>29</v>
      </c>
      <c r="D229" s="22"/>
      <c r="F229" s="11" t="s">
        <v>27</v>
      </c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72"/>
      <c r="X229" s="74"/>
      <c r="Y229" s="89"/>
      <c r="Z229" s="11">
        <v>6000</v>
      </c>
      <c r="AA229" s="75"/>
      <c r="AB229" s="75"/>
      <c r="AC229" s="75">
        <v>2500</v>
      </c>
      <c r="AE229" s="50" t="s">
        <v>116</v>
      </c>
      <c r="AF229" s="90"/>
      <c r="AG229" s="90"/>
      <c r="AH229" s="90"/>
      <c r="AI229" s="90"/>
      <c r="AJ229" s="90"/>
      <c r="AK229" s="90"/>
      <c r="AL229" s="90"/>
      <c r="AM229" s="90"/>
      <c r="AN229" s="90"/>
      <c r="AO229" s="90"/>
      <c r="AP229" s="90"/>
      <c r="AQ229" s="90"/>
      <c r="AR229" s="90"/>
      <c r="AS229" s="90"/>
    </row>
    <row r="230" spans="1:45" ht="15" thickBot="1">
      <c r="A230" s="22">
        <v>4</v>
      </c>
      <c r="B230" s="23">
        <v>46326</v>
      </c>
      <c r="C230" s="24" t="s">
        <v>122</v>
      </c>
      <c r="D230" s="22"/>
      <c r="F230" s="11" t="s">
        <v>27</v>
      </c>
      <c r="G230" s="2"/>
      <c r="H230" s="2"/>
      <c r="I230" s="11"/>
      <c r="J230" s="2"/>
      <c r="K230" s="2"/>
      <c r="L230" s="2"/>
      <c r="M230" s="2"/>
      <c r="N230" s="2"/>
      <c r="O230" s="11"/>
      <c r="P230" s="2"/>
      <c r="Q230" s="2"/>
      <c r="R230" s="2"/>
      <c r="S230" s="2"/>
      <c r="T230" s="11"/>
      <c r="U230" s="2"/>
      <c r="V230" s="2"/>
      <c r="W230" s="85"/>
      <c r="X230" s="74"/>
      <c r="Y230" s="89"/>
      <c r="Z230" s="11"/>
      <c r="AA230" s="75"/>
      <c r="AB230" s="75"/>
      <c r="AC230" s="75"/>
      <c r="AE230" s="99" t="s">
        <v>117</v>
      </c>
      <c r="AF230" s="92"/>
      <c r="AG230" s="92"/>
      <c r="AH230" s="92"/>
      <c r="AI230" s="92"/>
      <c r="AJ230" s="90"/>
      <c r="AK230" s="90"/>
      <c r="AL230" s="90"/>
      <c r="AM230" s="90"/>
      <c r="AN230" s="90"/>
      <c r="AO230" s="90"/>
      <c r="AP230" s="90"/>
      <c r="AQ230" s="90"/>
      <c r="AR230" s="90"/>
      <c r="AS230" s="90"/>
    </row>
    <row r="231" spans="1:45" ht="15" thickBot="1">
      <c r="A231" s="22">
        <v>5</v>
      </c>
      <c r="B231" s="23">
        <v>46326</v>
      </c>
      <c r="C231" s="24" t="s">
        <v>156</v>
      </c>
      <c r="D231" s="22"/>
      <c r="F231" s="11" t="s">
        <v>27</v>
      </c>
      <c r="G231" s="2"/>
      <c r="H231" s="2"/>
      <c r="I231" s="11"/>
      <c r="J231" s="2"/>
      <c r="K231" s="2"/>
      <c r="L231" s="2"/>
      <c r="M231" s="2"/>
      <c r="N231" s="2"/>
      <c r="O231" s="11"/>
      <c r="P231" s="2"/>
      <c r="Q231" s="2"/>
      <c r="R231" s="2"/>
      <c r="S231" s="2"/>
      <c r="T231" s="11"/>
      <c r="U231" s="2"/>
      <c r="V231" s="2"/>
      <c r="W231" s="85"/>
      <c r="X231" s="74"/>
      <c r="Y231" s="89"/>
      <c r="Z231" s="11"/>
      <c r="AA231" s="75"/>
      <c r="AB231" s="75"/>
      <c r="AC231" s="75"/>
      <c r="AD231" s="93" t="s">
        <v>89</v>
      </c>
      <c r="AE231" s="94">
        <f>SUM(AF231:AS231)</f>
        <v>0</v>
      </c>
      <c r="AF231" s="95">
        <f t="shared" ref="AF231:AG231" si="117">SUM(AF227:AF230)</f>
        <v>0</v>
      </c>
      <c r="AG231" s="95">
        <f t="shared" si="117"/>
        <v>0</v>
      </c>
      <c r="AH231" s="95">
        <f>SUM(AH227:AH230)</f>
        <v>0</v>
      </c>
      <c r="AI231" s="95">
        <f t="shared" ref="AI231:AS231" si="118">SUM(AI227:AI230)</f>
        <v>0</v>
      </c>
      <c r="AJ231" s="95">
        <f t="shared" si="118"/>
        <v>0</v>
      </c>
      <c r="AK231" s="95">
        <f t="shared" si="118"/>
        <v>0</v>
      </c>
      <c r="AL231" s="95">
        <f t="shared" si="118"/>
        <v>0</v>
      </c>
      <c r="AM231" s="95">
        <f t="shared" si="118"/>
        <v>0</v>
      </c>
      <c r="AN231" s="95">
        <f t="shared" si="118"/>
        <v>0</v>
      </c>
      <c r="AO231" s="95">
        <f t="shared" si="118"/>
        <v>0</v>
      </c>
      <c r="AP231" s="95">
        <f t="shared" si="118"/>
        <v>0</v>
      </c>
      <c r="AQ231" s="95">
        <f t="shared" si="118"/>
        <v>0</v>
      </c>
      <c r="AR231" s="95">
        <f t="shared" si="118"/>
        <v>0</v>
      </c>
      <c r="AS231" s="95">
        <f t="shared" si="118"/>
        <v>0</v>
      </c>
    </row>
    <row r="232" spans="1:45" ht="15" thickBot="1">
      <c r="A232" s="22">
        <v>6</v>
      </c>
      <c r="B232" s="23">
        <v>46326</v>
      </c>
      <c r="C232" s="24" t="s">
        <v>30</v>
      </c>
      <c r="D232" s="22"/>
      <c r="F232" s="11" t="s">
        <v>27</v>
      </c>
      <c r="G232" s="2"/>
      <c r="H232" s="2"/>
      <c r="I232" s="11"/>
      <c r="J232" s="2"/>
      <c r="K232" s="2"/>
      <c r="L232" s="2"/>
      <c r="M232" s="2"/>
      <c r="N232" s="2"/>
      <c r="O232" s="11"/>
      <c r="P232" s="2"/>
      <c r="Q232" s="2"/>
      <c r="R232" s="2"/>
      <c r="S232" s="2"/>
      <c r="T232" s="11"/>
      <c r="U232" s="2"/>
      <c r="V232" s="2"/>
      <c r="W232" s="85"/>
      <c r="X232" s="74"/>
      <c r="Y232" s="89"/>
      <c r="Z232" s="11"/>
      <c r="AA232" s="75"/>
      <c r="AB232" s="75"/>
      <c r="AC232" s="75"/>
    </row>
    <row r="233" spans="1:45" ht="29.4" thickBot="1">
      <c r="A233" s="22">
        <v>7</v>
      </c>
      <c r="B233" s="23">
        <v>46326</v>
      </c>
      <c r="C233" s="24" t="s">
        <v>31</v>
      </c>
      <c r="D233" s="22"/>
      <c r="F233" s="37" t="s">
        <v>33</v>
      </c>
      <c r="G233" s="3">
        <f>SUM(G227:G232)</f>
        <v>0</v>
      </c>
      <c r="H233" s="3">
        <f>SUM(H227:H232)</f>
        <v>0</v>
      </c>
      <c r="I233" s="3">
        <f t="shared" ref="I233:L233" si="119">SUM(I227:I232)</f>
        <v>0</v>
      </c>
      <c r="J233" s="3">
        <f t="shared" si="119"/>
        <v>0</v>
      </c>
      <c r="K233" s="3">
        <f t="shared" si="119"/>
        <v>0</v>
      </c>
      <c r="L233" s="3">
        <f t="shared" si="119"/>
        <v>0</v>
      </c>
      <c r="M233" s="3"/>
      <c r="N233" s="3"/>
      <c r="O233" s="3">
        <f>SUM(O227:O232)</f>
        <v>0</v>
      </c>
      <c r="P233" s="3">
        <f t="shared" ref="P233:V233" si="120">SUM(P227:P232)</f>
        <v>0</v>
      </c>
      <c r="Q233" s="3">
        <f t="shared" si="120"/>
        <v>0</v>
      </c>
      <c r="R233" s="3">
        <f t="shared" si="120"/>
        <v>0</v>
      </c>
      <c r="S233" s="3">
        <f t="shared" si="120"/>
        <v>0</v>
      </c>
      <c r="T233" s="3">
        <f t="shared" si="120"/>
        <v>0</v>
      </c>
      <c r="U233" s="3">
        <f t="shared" si="120"/>
        <v>0</v>
      </c>
      <c r="V233" s="3">
        <f t="shared" si="120"/>
        <v>0</v>
      </c>
      <c r="W233" s="3">
        <f>SUM(W227:W232)</f>
        <v>0</v>
      </c>
      <c r="X233" s="52">
        <f t="shared" ref="X233:AC233" si="121">SUM(X227:X232)</f>
        <v>0</v>
      </c>
      <c r="Y233" s="52">
        <f t="shared" si="121"/>
        <v>0</v>
      </c>
      <c r="Z233" s="52">
        <f t="shared" si="121"/>
        <v>36000</v>
      </c>
      <c r="AA233" s="52">
        <f t="shared" si="121"/>
        <v>0</v>
      </c>
      <c r="AB233" s="52">
        <f t="shared" si="121"/>
        <v>0</v>
      </c>
      <c r="AC233" s="52">
        <f t="shared" si="121"/>
        <v>6500</v>
      </c>
    </row>
    <row r="234" spans="1:45" ht="28.8">
      <c r="A234" s="22">
        <v>8</v>
      </c>
      <c r="B234" s="23">
        <v>46326</v>
      </c>
      <c r="C234" s="24" t="s">
        <v>114</v>
      </c>
      <c r="D234" s="22"/>
      <c r="F234" s="41" t="s">
        <v>35</v>
      </c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17"/>
      <c r="X234" s="17"/>
      <c r="Y234" s="17"/>
      <c r="Z234" s="17"/>
      <c r="AA234" s="17"/>
      <c r="AB234" s="17"/>
      <c r="AC234" s="17"/>
    </row>
    <row r="235" spans="1:45">
      <c r="A235" s="22">
        <v>9</v>
      </c>
      <c r="B235" s="23">
        <v>46326</v>
      </c>
      <c r="C235" s="24" t="s">
        <v>115</v>
      </c>
      <c r="D235" s="22"/>
      <c r="F235" s="43" t="s">
        <v>84</v>
      </c>
      <c r="G235" s="51">
        <f t="shared" ref="G235" si="122">(G234-G233)</f>
        <v>0</v>
      </c>
      <c r="H235" s="51">
        <f>(H234-H233)</f>
        <v>0</v>
      </c>
      <c r="I235" s="51">
        <f t="shared" ref="I235:L235" si="123">(I234-I233)</f>
        <v>0</v>
      </c>
      <c r="J235" s="51">
        <f t="shared" si="123"/>
        <v>0</v>
      </c>
      <c r="K235" s="51">
        <f t="shared" si="123"/>
        <v>0</v>
      </c>
      <c r="L235" s="51">
        <f t="shared" si="123"/>
        <v>0</v>
      </c>
      <c r="M235" s="51"/>
      <c r="N235" s="51"/>
      <c r="O235" s="51">
        <f>(O234-O233)</f>
        <v>0</v>
      </c>
      <c r="P235" s="51">
        <f>(P234-P233)</f>
        <v>0</v>
      </c>
      <c r="Q235" s="51">
        <f t="shared" ref="Q235:R235" si="124">(Q234-Q233)</f>
        <v>0</v>
      </c>
      <c r="R235" s="51">
        <f t="shared" si="124"/>
        <v>0</v>
      </c>
      <c r="S235" s="51">
        <f>(S234-S233)</f>
        <v>0</v>
      </c>
      <c r="T235" s="51">
        <f t="shared" ref="T235:U235" si="125">(T234-T233)</f>
        <v>0</v>
      </c>
      <c r="U235" s="51">
        <f t="shared" si="125"/>
        <v>0</v>
      </c>
      <c r="V235" s="51">
        <f>(V234-V233)</f>
        <v>0</v>
      </c>
      <c r="W235" s="28"/>
      <c r="X235" s="28"/>
      <c r="Y235" s="28"/>
      <c r="Z235" s="28"/>
      <c r="AA235" s="28"/>
      <c r="AB235" s="28"/>
      <c r="AC235" s="28"/>
    </row>
    <row r="236" spans="1:45" ht="28.8">
      <c r="A236" s="22">
        <v>10</v>
      </c>
      <c r="B236" s="23">
        <v>46326</v>
      </c>
      <c r="C236" s="125" t="s">
        <v>203</v>
      </c>
      <c r="D236" s="22"/>
      <c r="F236" s="4" t="s">
        <v>4</v>
      </c>
      <c r="G236" s="4" t="s">
        <v>38</v>
      </c>
      <c r="H236" s="5" t="s">
        <v>155</v>
      </c>
      <c r="I236" s="5" t="s">
        <v>142</v>
      </c>
      <c r="J236" s="5" t="s">
        <v>157</v>
      </c>
      <c r="K236" s="5" t="s">
        <v>141</v>
      </c>
      <c r="L236" s="29" t="s">
        <v>144</v>
      </c>
      <c r="M236" s="29" t="s">
        <v>128</v>
      </c>
      <c r="N236" s="26" t="s">
        <v>45</v>
      </c>
      <c r="O236" s="26" t="s">
        <v>46</v>
      </c>
      <c r="P236" s="26" t="s">
        <v>114</v>
      </c>
      <c r="Q236" s="26" t="s">
        <v>115</v>
      </c>
      <c r="R236" s="27" t="s">
        <v>50</v>
      </c>
      <c r="S236" s="29" t="s">
        <v>51</v>
      </c>
      <c r="T236" s="29" t="s">
        <v>172</v>
      </c>
    </row>
    <row r="237" spans="1:45">
      <c r="A237" s="22">
        <v>11</v>
      </c>
      <c r="B237" s="23">
        <v>46326</v>
      </c>
      <c r="C237" s="125" t="s">
        <v>204</v>
      </c>
      <c r="D237" s="22"/>
      <c r="F237" s="11" t="s">
        <v>3</v>
      </c>
      <c r="G237" s="16">
        <v>46341</v>
      </c>
      <c r="H237" s="16">
        <v>46341</v>
      </c>
      <c r="I237" s="16">
        <v>46341</v>
      </c>
      <c r="J237" s="16">
        <v>46341</v>
      </c>
      <c r="K237" s="16">
        <v>46341</v>
      </c>
      <c r="L237" s="16">
        <v>46341</v>
      </c>
      <c r="M237" s="16">
        <v>46341</v>
      </c>
      <c r="N237" s="16">
        <v>46341</v>
      </c>
      <c r="O237" s="16">
        <v>46341</v>
      </c>
      <c r="P237" s="16">
        <v>46341</v>
      </c>
      <c r="Q237" s="16">
        <v>46341</v>
      </c>
      <c r="R237" s="16">
        <v>46341</v>
      </c>
      <c r="S237" s="16">
        <v>46341</v>
      </c>
      <c r="T237" s="16">
        <v>46341</v>
      </c>
    </row>
    <row r="238" spans="1:45" ht="15" thickBot="1">
      <c r="A238" s="22">
        <v>12</v>
      </c>
      <c r="B238" s="23">
        <v>46326</v>
      </c>
      <c r="C238" s="24" t="s">
        <v>128</v>
      </c>
      <c r="D238" s="22"/>
      <c r="F238" s="46" t="s">
        <v>59</v>
      </c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</row>
    <row r="239" spans="1:45" ht="43.8" thickBot="1">
      <c r="A239" s="22">
        <v>13</v>
      </c>
      <c r="B239" s="23">
        <v>46326</v>
      </c>
      <c r="C239" s="24" t="s">
        <v>144</v>
      </c>
      <c r="D239" s="22"/>
      <c r="F239" s="53" t="s">
        <v>81</v>
      </c>
      <c r="G239" s="54">
        <f>SUM(G234:V234)</f>
        <v>0</v>
      </c>
      <c r="I239" s="55" t="s">
        <v>33</v>
      </c>
      <c r="J239" s="56">
        <f>SUM(G233:V233)</f>
        <v>0</v>
      </c>
      <c r="L239" s="63" t="s">
        <v>77</v>
      </c>
      <c r="M239" s="64">
        <f>(G239-J239)</f>
        <v>0</v>
      </c>
      <c r="O239" s="57" t="s">
        <v>92</v>
      </c>
      <c r="P239" s="58">
        <f>SUM(G238:AE238)</f>
        <v>0</v>
      </c>
      <c r="Q239" s="17"/>
      <c r="R239" s="59" t="s">
        <v>82</v>
      </c>
      <c r="S239" s="60">
        <f>SUM(X233:AC233)</f>
        <v>42500</v>
      </c>
      <c r="T239" s="32"/>
      <c r="U239" s="17"/>
    </row>
    <row r="240" spans="1:45">
      <c r="A240" s="22">
        <v>14</v>
      </c>
      <c r="B240" s="23">
        <v>46326</v>
      </c>
      <c r="C240" s="24" t="s">
        <v>172</v>
      </c>
      <c r="D240" s="22"/>
    </row>
  </sheetData>
  <mergeCells count="94">
    <mergeCell ref="AA225:AB225"/>
    <mergeCell ref="AE225:AS225"/>
    <mergeCell ref="A225:D225"/>
    <mergeCell ref="E225:H225"/>
    <mergeCell ref="I225:L225"/>
    <mergeCell ref="M225:P225"/>
    <mergeCell ref="Q225:T225"/>
    <mergeCell ref="AE103:AS103"/>
    <mergeCell ref="AE120:AS120"/>
    <mergeCell ref="AE37:AS37"/>
    <mergeCell ref="AE54:AS54"/>
    <mergeCell ref="AE69:AS69"/>
    <mergeCell ref="AE87:AS87"/>
    <mergeCell ref="A103:D103"/>
    <mergeCell ref="E103:H103"/>
    <mergeCell ref="I103:L103"/>
    <mergeCell ref="M103:P103"/>
    <mergeCell ref="Q103:T103"/>
    <mergeCell ref="A37:D37"/>
    <mergeCell ref="E37:H37"/>
    <mergeCell ref="I37:L37"/>
    <mergeCell ref="M37:P37"/>
    <mergeCell ref="Q37:T37"/>
    <mergeCell ref="A54:D54"/>
    <mergeCell ref="E54:H54"/>
    <mergeCell ref="I54:L54"/>
    <mergeCell ref="M54:P54"/>
    <mergeCell ref="Q54:T54"/>
    <mergeCell ref="A2:D2"/>
    <mergeCell ref="E2:H2"/>
    <mergeCell ref="I2:L2"/>
    <mergeCell ref="M2:P2"/>
    <mergeCell ref="Q2:T2"/>
    <mergeCell ref="A21:D21"/>
    <mergeCell ref="E21:H21"/>
    <mergeCell ref="I21:L21"/>
    <mergeCell ref="M21:P21"/>
    <mergeCell ref="Q21:T21"/>
    <mergeCell ref="A87:D87"/>
    <mergeCell ref="E87:H87"/>
    <mergeCell ref="I87:L87"/>
    <mergeCell ref="M87:P87"/>
    <mergeCell ref="Q87:T87"/>
    <mergeCell ref="AA120:AB120"/>
    <mergeCell ref="AE2:AS2"/>
    <mergeCell ref="AE21:AS21"/>
    <mergeCell ref="A120:D120"/>
    <mergeCell ref="E120:H120"/>
    <mergeCell ref="I120:L120"/>
    <mergeCell ref="M120:P120"/>
    <mergeCell ref="Q120:T120"/>
    <mergeCell ref="AA69:AB69"/>
    <mergeCell ref="AA87:AB87"/>
    <mergeCell ref="AA103:AB103"/>
    <mergeCell ref="Q69:T69"/>
    <mergeCell ref="M69:P69"/>
    <mergeCell ref="I69:L69"/>
    <mergeCell ref="E69:H69"/>
    <mergeCell ref="A69:D69"/>
    <mergeCell ref="AA139:AB139"/>
    <mergeCell ref="AE139:AS139"/>
    <mergeCell ref="A139:D139"/>
    <mergeCell ref="E139:H139"/>
    <mergeCell ref="I139:L139"/>
    <mergeCell ref="M139:P139"/>
    <mergeCell ref="Q139:T139"/>
    <mergeCell ref="E158:H158"/>
    <mergeCell ref="A158:D158"/>
    <mergeCell ref="AE158:AS158"/>
    <mergeCell ref="AA158:AB158"/>
    <mergeCell ref="Q158:T158"/>
    <mergeCell ref="M158:P158"/>
    <mergeCell ref="I158:L158"/>
    <mergeCell ref="AA174:AB174"/>
    <mergeCell ref="AE174:AS174"/>
    <mergeCell ref="A174:D174"/>
    <mergeCell ref="E174:H174"/>
    <mergeCell ref="I174:L174"/>
    <mergeCell ref="M174:P174"/>
    <mergeCell ref="Q174:T174"/>
    <mergeCell ref="AA192:AB192"/>
    <mergeCell ref="AE192:AS192"/>
    <mergeCell ref="A192:D192"/>
    <mergeCell ref="E192:H192"/>
    <mergeCell ref="I192:L192"/>
    <mergeCell ref="M192:P192"/>
    <mergeCell ref="Q192:T192"/>
    <mergeCell ref="AA208:AB208"/>
    <mergeCell ref="AE208:AS208"/>
    <mergeCell ref="A208:D208"/>
    <mergeCell ref="E208:H208"/>
    <mergeCell ref="I208:L208"/>
    <mergeCell ref="M208:P208"/>
    <mergeCell ref="Q208:T208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2BD5F-5FC8-4604-BC5A-7F98636B3F60}">
  <dimension ref="C1:F36"/>
  <sheetViews>
    <sheetView topLeftCell="A6" workbookViewId="0">
      <selection activeCell="A34" sqref="A34:XFD34"/>
    </sheetView>
  </sheetViews>
  <sheetFormatPr defaultRowHeight="14.4"/>
  <cols>
    <col min="3" max="3" width="38.44140625" customWidth="1"/>
    <col min="4" max="4" width="8" bestFit="1" customWidth="1"/>
  </cols>
  <sheetData>
    <row r="1" spans="3:6" ht="15" thickBot="1">
      <c r="C1" s="123" t="s">
        <v>198</v>
      </c>
      <c r="D1" s="124"/>
    </row>
    <row r="2" spans="3:6">
      <c r="C2" s="112" t="s">
        <v>152</v>
      </c>
      <c r="D2" s="113">
        <v>45000</v>
      </c>
    </row>
    <row r="3" spans="3:6">
      <c r="C3" s="110" t="s">
        <v>163</v>
      </c>
      <c r="D3" s="98">
        <v>10800</v>
      </c>
    </row>
    <row r="4" spans="3:6" ht="15" thickBot="1">
      <c r="C4" s="110" t="s">
        <v>109</v>
      </c>
      <c r="D4" s="98">
        <v>12555</v>
      </c>
    </row>
    <row r="5" spans="3:6" ht="15" thickBot="1">
      <c r="C5" s="110" t="s">
        <v>140</v>
      </c>
      <c r="D5" s="98">
        <v>13500</v>
      </c>
      <c r="F5" s="111"/>
    </row>
    <row r="6" spans="3:6">
      <c r="C6" s="110" t="s">
        <v>153</v>
      </c>
      <c r="D6" s="98">
        <v>48500</v>
      </c>
    </row>
    <row r="7" spans="3:6">
      <c r="C7" s="110" t="s">
        <v>146</v>
      </c>
      <c r="D7" s="98">
        <v>18000</v>
      </c>
    </row>
    <row r="8" spans="3:6">
      <c r="C8" s="110" t="s">
        <v>180</v>
      </c>
      <c r="D8" s="98">
        <v>23163</v>
      </c>
    </row>
    <row r="9" spans="3:6">
      <c r="C9" s="110" t="s">
        <v>151</v>
      </c>
      <c r="D9" s="98">
        <v>50976</v>
      </c>
    </row>
    <row r="10" spans="3:6">
      <c r="C10" s="110" t="s">
        <v>168</v>
      </c>
      <c r="D10" s="98">
        <v>18880</v>
      </c>
    </row>
    <row r="11" spans="3:6" ht="18" customHeight="1">
      <c r="C11" s="110" t="s">
        <v>181</v>
      </c>
      <c r="D11" s="98">
        <v>219000</v>
      </c>
    </row>
    <row r="12" spans="3:6">
      <c r="C12" s="110" t="s">
        <v>182</v>
      </c>
      <c r="D12" s="98">
        <v>169250</v>
      </c>
    </row>
    <row r="13" spans="3:6">
      <c r="C13" s="110" t="s">
        <v>183</v>
      </c>
      <c r="D13" s="98">
        <v>87108</v>
      </c>
    </row>
    <row r="14" spans="3:6">
      <c r="C14" s="110" t="s">
        <v>185</v>
      </c>
      <c r="D14" s="98">
        <v>70800</v>
      </c>
    </row>
    <row r="15" spans="3:6">
      <c r="C15" s="110" t="s">
        <v>184</v>
      </c>
      <c r="D15" s="98">
        <v>107500</v>
      </c>
    </row>
    <row r="16" spans="3:6">
      <c r="C16" s="110" t="s">
        <v>163</v>
      </c>
      <c r="D16" s="98">
        <v>5900</v>
      </c>
    </row>
    <row r="17" spans="3:4">
      <c r="C17" s="110" t="s">
        <v>173</v>
      </c>
      <c r="D17" s="98">
        <v>193000</v>
      </c>
    </row>
    <row r="18" spans="3:4">
      <c r="C18" s="110" t="s">
        <v>175</v>
      </c>
      <c r="D18" s="98">
        <v>29880</v>
      </c>
    </row>
    <row r="19" spans="3:4">
      <c r="C19" s="110" t="s">
        <v>177</v>
      </c>
      <c r="D19" s="98">
        <v>9190</v>
      </c>
    </row>
    <row r="20" spans="3:4">
      <c r="C20" s="110" t="s">
        <v>180</v>
      </c>
      <c r="D20" s="98">
        <v>15540</v>
      </c>
    </row>
    <row r="21" spans="3:4" ht="15.6" customHeight="1">
      <c r="C21" s="110" t="s">
        <v>174</v>
      </c>
      <c r="D21" s="98">
        <v>11965</v>
      </c>
    </row>
    <row r="22" spans="3:4">
      <c r="C22" s="110" t="s">
        <v>178</v>
      </c>
      <c r="D22" s="98">
        <v>5900</v>
      </c>
    </row>
    <row r="23" spans="3:4" ht="17.399999999999999" customHeight="1">
      <c r="C23" s="110" t="s">
        <v>179</v>
      </c>
      <c r="D23" s="98">
        <v>10000</v>
      </c>
    </row>
    <row r="24" spans="3:4">
      <c r="C24" s="110" t="s">
        <v>186</v>
      </c>
      <c r="D24" s="98">
        <v>28260</v>
      </c>
    </row>
    <row r="25" spans="3:4">
      <c r="C25" s="110" t="s">
        <v>187</v>
      </c>
      <c r="D25" s="98">
        <v>45000</v>
      </c>
    </row>
    <row r="26" spans="3:4">
      <c r="C26" s="110" t="s">
        <v>188</v>
      </c>
      <c r="D26" s="98">
        <v>6000</v>
      </c>
    </row>
    <row r="27" spans="3:4">
      <c r="C27" s="110" t="s">
        <v>189</v>
      </c>
      <c r="D27" s="98">
        <v>43000</v>
      </c>
    </row>
    <row r="28" spans="3:4">
      <c r="C28" s="98" t="s">
        <v>190</v>
      </c>
      <c r="D28" s="98">
        <v>3000</v>
      </c>
    </row>
    <row r="29" spans="3:4">
      <c r="C29" s="98" t="s">
        <v>193</v>
      </c>
      <c r="D29" s="98">
        <v>12914</v>
      </c>
    </row>
    <row r="30" spans="3:4">
      <c r="C30" s="110" t="s">
        <v>191</v>
      </c>
      <c r="D30" s="98">
        <v>1200</v>
      </c>
    </row>
    <row r="31" spans="3:4">
      <c r="C31" s="98" t="s">
        <v>192</v>
      </c>
      <c r="D31" s="98">
        <v>3190</v>
      </c>
    </row>
    <row r="32" spans="3:4">
      <c r="C32" s="98" t="s">
        <v>194</v>
      </c>
      <c r="D32" s="98">
        <v>23302</v>
      </c>
    </row>
    <row r="33" spans="3:4">
      <c r="C33" s="98" t="s">
        <v>195</v>
      </c>
      <c r="D33" s="98">
        <v>9180</v>
      </c>
    </row>
    <row r="34" spans="3:4">
      <c r="C34" s="110" t="s">
        <v>180</v>
      </c>
      <c r="D34" s="98">
        <v>27685</v>
      </c>
    </row>
    <row r="35" spans="3:4">
      <c r="C35" s="98" t="s">
        <v>196</v>
      </c>
      <c r="D35" s="98">
        <v>174800</v>
      </c>
    </row>
    <row r="36" spans="3:4">
      <c r="C36" s="98" t="s">
        <v>197</v>
      </c>
      <c r="D36" s="98">
        <v>183250</v>
      </c>
    </row>
  </sheetData>
  <mergeCells count="1">
    <mergeCell ref="C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0C8D97-6C44-4794-BF50-13C03DC2EB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Mahesh Dhoot</cp:lastModifiedBy>
  <dcterms:created xsi:type="dcterms:W3CDTF">2025-12-23T09:26:00Z</dcterms:created>
  <dcterms:modified xsi:type="dcterms:W3CDTF">2026-10-14T17:46:30Z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173D2652BC4449EBB4B03FD1EAD61368_12</vt:lpwstr>
  </property>
  <property fmtid="{D5CDD505-2E9C-101B-9397-08002B2CF9AE}" pid="3" name="KSOProductBuildVer">
    <vt:lpwstr>1033-12.2.0.23196</vt:lpwstr>
  </property>
</Properties>
</file>