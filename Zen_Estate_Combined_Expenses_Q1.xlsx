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12\"/>
    </mc:Choice>
  </mc:AlternateContent>
  <xr:revisionPtr revIDLastSave="0" documentId="13_ncr:1_{153A5FDE-60B4-46BC-878E-F0E0C72C482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2" i="1" l="1"/>
  <c r="J188" i="1"/>
  <c r="J206" i="1"/>
  <c r="G206" i="1"/>
  <c r="P206" i="1"/>
  <c r="L194" i="1"/>
  <c r="L200" i="1" s="1"/>
  <c r="G200" i="1"/>
  <c r="P200" i="1"/>
  <c r="Q200" i="1"/>
  <c r="R200" i="1"/>
  <c r="S200" i="1"/>
  <c r="T200" i="1"/>
  <c r="U200" i="1"/>
  <c r="V200" i="1"/>
  <c r="O200" i="1"/>
  <c r="I200" i="1"/>
  <c r="J200" i="1"/>
  <c r="K200" i="1"/>
  <c r="H200" i="1"/>
  <c r="P188" i="1"/>
  <c r="P172" i="1"/>
  <c r="P153" i="1"/>
  <c r="P134" i="1"/>
  <c r="P117" i="1"/>
  <c r="P101" i="1"/>
  <c r="P83" i="1"/>
  <c r="P68" i="1"/>
  <c r="P51" i="1"/>
  <c r="P35" i="1"/>
  <c r="P15" i="1"/>
  <c r="M206" i="1" l="1"/>
  <c r="J153" i="1"/>
  <c r="L176" i="1"/>
  <c r="L182" i="1" s="1"/>
  <c r="V182" i="1"/>
  <c r="H182" i="1"/>
  <c r="I182" i="1"/>
  <c r="J182" i="1"/>
  <c r="K182" i="1"/>
  <c r="O182" i="1"/>
  <c r="P182" i="1"/>
  <c r="Q182" i="1"/>
  <c r="R182" i="1"/>
  <c r="S182" i="1"/>
  <c r="T182" i="1"/>
  <c r="U182" i="1"/>
  <c r="W182" i="1"/>
  <c r="G182" i="1"/>
  <c r="V202" i="1"/>
  <c r="U202" i="1"/>
  <c r="T202" i="1"/>
  <c r="S202" i="1"/>
  <c r="R202" i="1"/>
  <c r="Q202" i="1"/>
  <c r="P202" i="1"/>
  <c r="O202" i="1"/>
  <c r="L202" i="1"/>
  <c r="K202" i="1"/>
  <c r="J202" i="1"/>
  <c r="I202" i="1"/>
  <c r="H202" i="1"/>
  <c r="G202" i="1"/>
  <c r="AC200" i="1"/>
  <c r="AB200" i="1"/>
  <c r="AA200" i="1"/>
  <c r="Z200" i="1"/>
  <c r="Y200" i="1"/>
  <c r="X200" i="1"/>
  <c r="W200" i="1"/>
  <c r="AS198" i="1"/>
  <c r="AR198" i="1"/>
  <c r="AQ198" i="1"/>
  <c r="AP198" i="1"/>
  <c r="AO198" i="1"/>
  <c r="AN198" i="1"/>
  <c r="AM198" i="1"/>
  <c r="AE198" i="1" s="1"/>
  <c r="AL198" i="1"/>
  <c r="AK198" i="1"/>
  <c r="AJ198" i="1"/>
  <c r="AI198" i="1"/>
  <c r="AH198" i="1"/>
  <c r="AG198" i="1"/>
  <c r="AF198" i="1"/>
  <c r="S188" i="1"/>
  <c r="S172" i="1"/>
  <c r="S153" i="1"/>
  <c r="S134" i="1"/>
  <c r="S117" i="1"/>
  <c r="S101" i="1"/>
  <c r="S83" i="1"/>
  <c r="S68" i="1"/>
  <c r="S35" i="1"/>
  <c r="L162" i="1"/>
  <c r="L161" i="1"/>
  <c r="L166" i="1" s="1"/>
  <c r="S206" i="1" l="1"/>
  <c r="L160" i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G188" i="1" l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G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M153" i="1"/>
  <c r="AE164" i="1"/>
  <c r="M172" i="1"/>
  <c r="G168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Q97" i="1"/>
  <c r="L5" i="1" l="1"/>
  <c r="L4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M15" i="1"/>
  <c r="J15" i="1"/>
  <c r="AE8" i="1"/>
  <c r="AF8" i="1"/>
  <c r="AQ8" i="1"/>
  <c r="AH8" i="1"/>
  <c r="AO8" i="1"/>
  <c r="AN8" i="1"/>
  <c r="AG8" i="1"/>
  <c r="AL8" i="1"/>
  <c r="AR8" i="1"/>
  <c r="AJ8" i="1"/>
  <c r="AI8" i="1"/>
  <c r="AS8" i="1"/>
  <c r="AK8" i="1"/>
  <c r="AM8" i="1"/>
  <c r="AP8" i="1"/>
</calcChain>
</file>

<file path=xl/sharedStrings.xml><?xml version="1.0" encoding="utf-8"?>
<sst xmlns="http://schemas.openxmlformats.org/spreadsheetml/2006/main" count="1325" uniqueCount="204">
  <si>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</si>
  <si>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</si>
  <si>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</si>
  <si>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</si>
  <si>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</si>
  <si>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</si>
  <si>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</si>
  <si>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</si>
  <si>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</si>
  <si>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</si>
  <si>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</si>
  <si>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</si>
  <si>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</si>
  <si>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</si>
  <si>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</si>
  <si>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</si>
  <si>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</si>
  <si>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</si>
  <si>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</si>
  <si>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</si>
  <si>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</si>
  <si>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</si>
  <si>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</si>
  <si>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</si>
  <si>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</si>
  <si>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</si>
  <si>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</si>
  <si>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</si>
  <si>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</si>
  <si>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</si>
  <si>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</si>
  <si>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</si>
  <si>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</si>
  <si>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</si>
  <si>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</si>
  <si>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</si>
  <si>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</si>
  <si>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</si>
  <si>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</si>
  <si>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</si>
  <si>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</si>
  <si>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</si>
  <si>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</si>
  <si>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</si>
  <si>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</si>
  <si>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</si>
  <si>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</si>
  <si>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</si>
  <si>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</si>
  <si>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</si>
  <si>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</si>
  <si>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</si>
  <si>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</si>
  <si>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</si>
  <si>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</si>
  <si>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</si>
  <si>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</si>
  <si>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</si>
  <si>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</si>
  <si>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</si>
  <si>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</si>
  <si>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</si>
  <si>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</si>
  <si>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</si>
  <si>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</si>
  <si>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</si>
  <si>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</si>
  <si>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</si>
  <si>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</si>
  <si>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</si>
  <si>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</si>
  <si>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</si>
  <si>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</si>
  <si>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</si>
  <si>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</si>
  <si>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</si>
  <si>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</si>
  <si>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</si>
  <si>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</si>
  <si>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</si>
  <si>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</si>
  <si>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</si>
  <si>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</si>
  <si>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</si>
  <si>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</si>
  <si>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</si>
  <si>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</si>
  <si>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</si>
  <si>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</si>
  <si>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</si>
  <si>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</si>
  <si>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</si>
  <si>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</si>
  <si>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</si>
  <si>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</si>
  <si>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</si>
  <si>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</si>
  <si>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</si>
  <si>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</si>
  <si>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</si>
  <si>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</si>
  <si>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</si>
  <si>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</si>
  <si>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</si>
  <si>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</si>
  <si>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</si>
  <si>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</si>
  <si>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</si>
  <si>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</si>
  <si>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</si>
  <si>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</si>
  <si>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</si>
  <si>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</si>
  <si>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</si>
  <si>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</si>
  <si>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</si>
  <si>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</si>
  <si>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</si>
  <si>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</si>
  <si>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</si>
  <si>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</si>
  <si>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</si>
  <si>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</si>
  <si>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</si>
  <si>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</si>
  <si>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</si>
  <si>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</si>
  <si>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</si>
  <si>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</si>
  <si>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</si>
  <si>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</si>
  <si>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</si>
  <si>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</si>
  <si>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</si>
  <si>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</si>
  <si>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</si>
  <si>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</si>
  <si>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</si>
  <si>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</si>
  <si>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</si>
  <si>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</si>
  <si>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</si>
  <si>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</si>
  <si>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</si>
  <si>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</si>
  <si>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</si>
  <si>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</si>
  <si>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</si>
  <si>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</si>
  <si>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</si>
  <si>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</si>
  <si>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</si>
  <si>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</si>
  <si>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</si>
  <si>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</si>
  <si>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</si>
  <si>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</si>
  <si>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</si>
  <si>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</si>
  <si>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</si>
  <si>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</si>
  <si>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</si>
  <si>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</si>
  <si>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</si>
  <si>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</si>
  <si>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</si>
  <si>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</si>
  <si>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</si>
  <si>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</si>
  <si>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</si>
  <si>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</si>
  <si>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</si>
  <si>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</si>
  <si>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</si>
  <si>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</si>
  <si>
    <t>August 2026 Vendor Bills (Paid in Sep 2026)</t>
  </si>
  <si>
    <t>STP Electricity Bill August 2026</t>
  </si>
  <si>
    <t>Comman Electrcity August 2026</t>
  </si>
  <si>
    <t>Swimming Pool</t>
  </si>
  <si>
    <t>Stage Construction</t>
  </si>
  <si>
    <t>Construction work at B2, WTP &amp; main gate</t>
  </si>
  <si>
    <t>120 Tubes, 8 Flood lights &amp; wire</t>
  </si>
  <si>
    <t>FM Team Uniform</t>
  </si>
  <si>
    <t xml:space="preserve">FM Team Uniform </t>
  </si>
  <si>
    <t>4 AC Servicing and Gas Refill</t>
  </si>
  <si>
    <t>Gym Glass Door Granite Replacemnt</t>
  </si>
  <si>
    <t>Diesel Re-filling</t>
  </si>
  <si>
    <t>STP Global Enviro 1st Installment</t>
  </si>
  <si>
    <t>STP Global Enviro 2nd Installment</t>
  </si>
  <si>
    <t xml:space="preserve">STP Carbon Filter </t>
  </si>
  <si>
    <t>STP Effluent Transfer Pump</t>
  </si>
  <si>
    <t>STP Sludge Transfer Pump</t>
  </si>
  <si>
    <t>15th Aug refreshment &amp; decoration</t>
  </si>
  <si>
    <t>Nursary tree plantation</t>
  </si>
  <si>
    <t>Media Cleaning</t>
  </si>
  <si>
    <t>100 Chairs</t>
  </si>
  <si>
    <t>Wardrobe for office</t>
  </si>
  <si>
    <t>garden Pipe for watering</t>
  </si>
  <si>
    <t>Club house panel lights</t>
  </si>
  <si>
    <t>100 mtr Polycab wire</t>
  </si>
  <si>
    <t>DG Servicing</t>
  </si>
  <si>
    <t>Repair Bypass Pump</t>
  </si>
  <si>
    <t>Pipeline Bracket work in B1</t>
  </si>
  <si>
    <t>Fire 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</si>
</sst>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9"/>
  <sheetViews>
    <sheetView tabSelected="1" topLeftCell="B161" zoomScale="55" zoomScaleNormal="55" workbookViewId="0">
      <selection activeCell="J173" sqref="J173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8.7773437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21" t="s">
        <v>1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0"/>
      <c r="V2" s="10"/>
      <c r="W2" s="10"/>
      <c r="X2" s="10"/>
      <c r="Y2" s="82"/>
      <c r="Z2" s="73"/>
      <c r="AE2" s="122" t="s">
        <v>83</v>
      </c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21" t="s">
        <v>65</v>
      </c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0"/>
      <c r="V21" s="10"/>
      <c r="W21" s="10"/>
      <c r="X21" s="10"/>
      <c r="Y21" s="82"/>
      <c r="Z21" s="73"/>
      <c r="AE21" s="122" t="s">
        <v>83</v>
      </c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21" t="s">
        <v>69</v>
      </c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0"/>
      <c r="V37" s="10"/>
      <c r="W37" s="10"/>
      <c r="X37" s="82"/>
      <c r="Y37" s="82"/>
      <c r="Z37" s="83"/>
      <c r="AA37" s="34"/>
      <c r="AB37" s="34"/>
      <c r="AC37" s="34"/>
      <c r="AE37" s="119" t="s">
        <v>83</v>
      </c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21" t="s">
        <v>76</v>
      </c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0"/>
      <c r="V54" s="10"/>
      <c r="W54" s="10"/>
      <c r="X54" s="82"/>
      <c r="Y54" s="82"/>
      <c r="Z54" s="83"/>
      <c r="AE54" s="119" t="s">
        <v>83</v>
      </c>
      <c r="AF54" s="120"/>
      <c r="AG54" s="120"/>
      <c r="AH54" s="120"/>
      <c r="AI54" s="120"/>
      <c r="AJ54" s="120"/>
      <c r="AK54" s="120"/>
      <c r="AL54" s="120"/>
      <c r="AM54" s="120"/>
      <c r="AN54" s="120"/>
      <c r="AO54" s="120"/>
      <c r="AP54" s="120"/>
      <c r="AQ54" s="120"/>
      <c r="AR54" s="120"/>
      <c r="AS54" s="120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25405</v>
      </c>
      <c r="M57" s="14">
        <v>25000</v>
      </c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42808.68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-23216.68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2007383.1300000001</v>
      </c>
      <c r="L68" s="67" t="s">
        <v>77</v>
      </c>
      <c r="M68" s="68">
        <f>(G68-J68)</f>
        <v>-8052.9799999999814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21" t="s">
        <v>104</v>
      </c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0"/>
      <c r="V69" s="10"/>
      <c r="W69" s="10"/>
      <c r="X69" s="10"/>
      <c r="Y69" s="10"/>
      <c r="Z69" s="10"/>
      <c r="AA69" s="117"/>
      <c r="AB69" s="118"/>
      <c r="AC69" s="103"/>
      <c r="AE69" s="119" t="s">
        <v>83</v>
      </c>
      <c r="AF69" s="120"/>
      <c r="AG69" s="120"/>
      <c r="AH69" s="120"/>
      <c r="AI69" s="120"/>
      <c r="AJ69" s="120"/>
      <c r="AK69" s="120"/>
      <c r="AL69" s="120"/>
      <c r="AM69" s="120"/>
      <c r="AN69" s="120"/>
      <c r="AO69" s="120"/>
      <c r="AP69" s="120"/>
      <c r="AQ69" s="120"/>
      <c r="AR69" s="120"/>
      <c r="AS69" s="120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SUM(X77:AC77)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21" t="s">
        <v>109</v>
      </c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0"/>
      <c r="V87" s="10"/>
      <c r="W87" s="10"/>
      <c r="X87" s="10"/>
      <c r="Y87" s="10"/>
      <c r="Z87" s="10"/>
      <c r="AA87" s="117"/>
      <c r="AB87" s="118"/>
      <c r="AC87" s="103"/>
      <c r="AE87" s="119" t="s">
        <v>83</v>
      </c>
      <c r="AF87" s="120"/>
      <c r="AG87" s="120"/>
      <c r="AH87" s="120"/>
      <c r="AI87" s="120"/>
      <c r="AJ87" s="120"/>
      <c r="AK87" s="120"/>
      <c r="AL87" s="120"/>
      <c r="AM87" s="120"/>
      <c r="AN87" s="120"/>
      <c r="AO87" s="120"/>
      <c r="AP87" s="120"/>
      <c r="AQ87" s="120"/>
      <c r="AR87" s="120"/>
      <c r="AS87" s="120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SUM(X95:AC95)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21" t="s">
        <v>113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0"/>
      <c r="V103" s="10"/>
      <c r="W103" s="10"/>
      <c r="X103" s="10"/>
      <c r="Y103" s="10"/>
      <c r="Z103" s="10"/>
      <c r="AA103" s="117"/>
      <c r="AB103" s="118"/>
      <c r="AC103" s="103"/>
      <c r="AE103" s="119" t="s">
        <v>83</v>
      </c>
      <c r="AF103" s="120"/>
      <c r="AG103" s="120"/>
      <c r="AH103" s="120"/>
      <c r="AI103" s="120"/>
      <c r="AJ103" s="120"/>
      <c r="AK103" s="120"/>
      <c r="AL103" s="120"/>
      <c r="AM103" s="120"/>
      <c r="AN103" s="120"/>
      <c r="AO103" s="120"/>
      <c r="AP103" s="120"/>
      <c r="AQ103" s="120"/>
      <c r="AR103" s="120"/>
      <c r="AS103" s="120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SUM(X111:AC111)</f>
        <v>33840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21" t="s">
        <v>123</v>
      </c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0"/>
      <c r="V120" s="10"/>
      <c r="W120" s="10"/>
      <c r="X120" s="10"/>
      <c r="Y120" s="10"/>
      <c r="Z120" s="10"/>
      <c r="AA120" s="117"/>
      <c r="AB120" s="118"/>
      <c r="AC120" s="103"/>
      <c r="AE120" s="119" t="s">
        <v>83</v>
      </c>
      <c r="AF120" s="120"/>
      <c r="AG120" s="120"/>
      <c r="AH120" s="120"/>
      <c r="AI120" s="120"/>
      <c r="AJ120" s="120"/>
      <c r="AK120" s="120"/>
      <c r="AL120" s="120"/>
      <c r="AM120" s="120"/>
      <c r="AN120" s="120"/>
      <c r="AO120" s="120"/>
      <c r="AP120" s="120"/>
      <c r="AQ120" s="120"/>
      <c r="AR120" s="120"/>
      <c r="AS120" s="120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113" t="s">
        <v>186</v>
      </c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111">
        <v>46158</v>
      </c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112">
        <v>23163</v>
      </c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SUM(G133:X133)</f>
        <v>2242242.98</v>
      </c>
      <c r="Q134" s="20"/>
      <c r="R134" s="63" t="s">
        <v>85</v>
      </c>
      <c r="S134" s="64">
        <f>SUM(X128:AC128)</f>
        <v>29540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21" t="s">
        <v>140</v>
      </c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0"/>
      <c r="V139" s="10"/>
      <c r="W139" s="10"/>
      <c r="X139" s="10"/>
      <c r="Y139" s="10"/>
      <c r="Z139" s="10"/>
      <c r="AA139" s="117"/>
      <c r="AB139" s="118"/>
      <c r="AC139" s="103"/>
      <c r="AE139" s="119" t="s">
        <v>83</v>
      </c>
      <c r="AF139" s="120"/>
      <c r="AG139" s="120"/>
      <c r="AH139" s="120"/>
      <c r="AI139" s="120"/>
      <c r="AJ139" s="120"/>
      <c r="AK139" s="120"/>
      <c r="AL139" s="120"/>
      <c r="AM139" s="120"/>
      <c r="AN139" s="120"/>
      <c r="AO139" s="120"/>
      <c r="AP139" s="120"/>
      <c r="AQ139" s="120"/>
      <c r="AR139" s="120"/>
      <c r="AS139" s="120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46188</v>
      </c>
      <c r="AB151" s="111">
        <v>46188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SUM(G147:V147)-AE145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SUM(G152:AB152)</f>
        <v>2810825.98</v>
      </c>
      <c r="R153" s="63" t="s">
        <v>85</v>
      </c>
      <c r="S153" s="64">
        <f>SUM(X147:AC147)</f>
        <v>44800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21" t="s">
        <v>150</v>
      </c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0"/>
      <c r="V158" s="10"/>
      <c r="W158" s="10"/>
      <c r="X158" s="10"/>
      <c r="Y158" s="10"/>
      <c r="Z158" s="10"/>
      <c r="AA158" s="117"/>
      <c r="AB158" s="118"/>
      <c r="AC158" s="103"/>
      <c r="AE158" s="119" t="s">
        <v>83</v>
      </c>
      <c r="AF158" s="120"/>
      <c r="AG158" s="120"/>
      <c r="AH158" s="120"/>
      <c r="AI158" s="120"/>
      <c r="AJ158" s="120"/>
      <c r="AK158" s="120"/>
      <c r="AL158" s="120"/>
      <c r="AM158" s="120"/>
      <c r="AN158" s="120"/>
      <c r="AO158" s="120"/>
      <c r="AP158" s="120"/>
      <c r="AQ158" s="120"/>
      <c r="AR158" s="120"/>
      <c r="AS158" s="120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529.02</v>
      </c>
      <c r="M161" s="14">
        <v>491</v>
      </c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18786.140000000003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6476.4099999999962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191</v>
      </c>
      <c r="X169" s="113" t="s">
        <v>190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SUM(G166:V166)-AE164</f>
        <v>2276090.9309999999</v>
      </c>
      <c r="L172" s="67" t="s">
        <v>77</v>
      </c>
      <c r="M172" s="68">
        <f>(G172-J172)</f>
        <v>82364.26900000032</v>
      </c>
      <c r="O172" s="61" t="s">
        <v>95</v>
      </c>
      <c r="P172" s="62">
        <f>SUM(G171:Y171)</f>
        <v>2706466</v>
      </c>
      <c r="Q172" s="20"/>
      <c r="R172" s="63" t="s">
        <v>85</v>
      </c>
      <c r="S172" s="64">
        <f>SUM(X166:AC166)</f>
        <v>47000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21" t="s">
        <v>161</v>
      </c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0"/>
      <c r="V174" s="10"/>
      <c r="W174" s="10"/>
      <c r="X174" s="10"/>
      <c r="Y174" s="10"/>
      <c r="Z174" s="10"/>
      <c r="AA174" s="117"/>
      <c r="AB174" s="118"/>
      <c r="AC174" s="103"/>
      <c r="AE174" s="119" t="s">
        <v>83</v>
      </c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0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>
        <v>98066</v>
      </c>
      <c r="F176" s="14" t="s">
        <v>27</v>
      </c>
      <c r="G176" s="14">
        <v>241754.25</v>
      </c>
      <c r="H176" s="15">
        <v>21614</v>
      </c>
      <c r="I176" s="14">
        <v>204624</v>
      </c>
      <c r="J176" s="15">
        <v>18533</v>
      </c>
      <c r="K176" s="14">
        <v>237135</v>
      </c>
      <c r="L176" s="14">
        <f>SUM(M176:N176)</f>
        <v>18533</v>
      </c>
      <c r="M176" s="14">
        <v>15445</v>
      </c>
      <c r="N176" s="15">
        <v>3088</v>
      </c>
      <c r="O176" s="14">
        <v>219231</v>
      </c>
      <c r="P176" s="14">
        <v>18533</v>
      </c>
      <c r="Q176" s="14">
        <v>356282</v>
      </c>
      <c r="R176" s="14">
        <v>24616</v>
      </c>
      <c r="S176" s="14">
        <v>250707</v>
      </c>
      <c r="T176" s="14">
        <v>250158</v>
      </c>
      <c r="U176" s="14">
        <v>223700</v>
      </c>
      <c r="V176" s="14">
        <v>106077.98</v>
      </c>
      <c r="W176" s="76">
        <v>21614</v>
      </c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>
        <v>472708</v>
      </c>
      <c r="F177" s="14" t="s">
        <v>27</v>
      </c>
      <c r="G177" s="14">
        <v>3500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>
        <v>18533</v>
      </c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>
        <v>255000</v>
      </c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>
        <v>3088</v>
      </c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>
        <v>199500</v>
      </c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>
        <v>45950</v>
      </c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>
        <v>6000</v>
      </c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>
        <v>11130</v>
      </c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>
        <v>6000</v>
      </c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>
        <v>21800</v>
      </c>
      <c r="F182" s="40" t="s">
        <v>33</v>
      </c>
      <c r="G182" s="6">
        <f>SUM(G176:G181)</f>
        <v>245254.25</v>
      </c>
      <c r="H182" s="6">
        <f t="shared" ref="H182:W182" si="93">SUM(H176:H181)</f>
        <v>21614</v>
      </c>
      <c r="I182" s="6">
        <f t="shared" si="93"/>
        <v>204624</v>
      </c>
      <c r="J182" s="6">
        <f t="shared" si="93"/>
        <v>18533</v>
      </c>
      <c r="K182" s="6">
        <f t="shared" si="93"/>
        <v>237135</v>
      </c>
      <c r="L182" s="6">
        <f t="shared" si="93"/>
        <v>18533</v>
      </c>
      <c r="M182" s="6"/>
      <c r="N182" s="6"/>
      <c r="O182" s="6">
        <f t="shared" si="93"/>
        <v>219231</v>
      </c>
      <c r="P182" s="6">
        <f t="shared" si="93"/>
        <v>18533</v>
      </c>
      <c r="Q182" s="6">
        <f t="shared" si="93"/>
        <v>356282</v>
      </c>
      <c r="R182" s="6">
        <f t="shared" si="93"/>
        <v>24616</v>
      </c>
      <c r="S182" s="6">
        <f t="shared" si="93"/>
        <v>250707</v>
      </c>
      <c r="T182" s="6">
        <f t="shared" si="93"/>
        <v>250158</v>
      </c>
      <c r="U182" s="6">
        <f t="shared" si="93"/>
        <v>223700</v>
      </c>
      <c r="V182" s="6">
        <f>SUM(V176:V181)</f>
        <v>106077.98</v>
      </c>
      <c r="W182" s="6">
        <f t="shared" si="93"/>
        <v>43235</v>
      </c>
      <c r="X182" s="55">
        <f t="shared" ref="X182:AC182" si="94">SUM(X176:X181)</f>
        <v>3000</v>
      </c>
      <c r="Y182" s="55">
        <f t="shared" si="94"/>
        <v>0</v>
      </c>
      <c r="Z182" s="55">
        <f t="shared" si="94"/>
        <v>36000</v>
      </c>
      <c r="AA182" s="55">
        <f t="shared" si="94"/>
        <v>0</v>
      </c>
      <c r="AB182" s="55">
        <f t="shared" si="94"/>
        <v>1100</v>
      </c>
      <c r="AC182" s="55">
        <f t="shared" si="94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>
        <v>30000</v>
      </c>
      <c r="F183" s="44" t="s">
        <v>35</v>
      </c>
      <c r="G183" s="39">
        <v>245254.24900000001</v>
      </c>
      <c r="H183" s="39">
        <v>21614.5</v>
      </c>
      <c r="I183" s="39">
        <v>236537</v>
      </c>
      <c r="J183" s="39">
        <v>18533.349999999999</v>
      </c>
      <c r="K183" s="39">
        <v>237134.29399999999</v>
      </c>
      <c r="L183" s="39">
        <v>18533.349999999999</v>
      </c>
      <c r="M183" s="39"/>
      <c r="N183" s="39"/>
      <c r="O183" s="39">
        <v>219231.29</v>
      </c>
      <c r="P183" s="39">
        <v>18533.349999999999</v>
      </c>
      <c r="Q183" s="39">
        <v>356282.72</v>
      </c>
      <c r="R183" s="39">
        <v>24616.68</v>
      </c>
      <c r="S183" s="39">
        <v>250157.85</v>
      </c>
      <c r="T183" s="39">
        <v>250158</v>
      </c>
      <c r="U183" s="39">
        <v>239383.3</v>
      </c>
      <c r="V183" s="39">
        <v>106077.98</v>
      </c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>
        <v>40747</v>
      </c>
      <c r="F184" s="46" t="s">
        <v>87</v>
      </c>
      <c r="G184" s="54">
        <f t="shared" ref="G184" si="95">(G183-G182)</f>
        <v>-9.9999998928979039E-4</v>
      </c>
      <c r="H184" s="54">
        <f>(H183-H182)</f>
        <v>0.5</v>
      </c>
      <c r="I184" s="54">
        <f t="shared" ref="I184:L184" si="96">(I183-I182)</f>
        <v>31913</v>
      </c>
      <c r="J184" s="54">
        <f t="shared" si="96"/>
        <v>0.34999999999854481</v>
      </c>
      <c r="K184" s="54">
        <f t="shared" si="96"/>
        <v>-0.70600000000558794</v>
      </c>
      <c r="L184" s="54">
        <f t="shared" si="96"/>
        <v>0.34999999999854481</v>
      </c>
      <c r="M184" s="54"/>
      <c r="N184" s="54"/>
      <c r="O184" s="54">
        <f>(O183-O182)</f>
        <v>0.29000000000814907</v>
      </c>
      <c r="P184" s="54">
        <f>(P183-P182)</f>
        <v>0.34999999999854481</v>
      </c>
      <c r="Q184" s="54">
        <f t="shared" ref="Q184:R184" si="97">(Q183-Q182)</f>
        <v>0.71999999997206032</v>
      </c>
      <c r="R184" s="54">
        <f t="shared" si="97"/>
        <v>0.68000000000029104</v>
      </c>
      <c r="S184" s="54">
        <f>(S183-S182)</f>
        <v>-549.14999999999418</v>
      </c>
      <c r="T184" s="54">
        <f t="shared" ref="T184:U184" si="98">(T183-T182)</f>
        <v>0</v>
      </c>
      <c r="U184" s="54">
        <f t="shared" si="98"/>
        <v>15683.299999999988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>
        <v>88870</v>
      </c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 t="s">
        <v>178</v>
      </c>
      <c r="U185" s="32" t="s">
        <v>48</v>
      </c>
      <c r="V185" s="113" t="s">
        <v>179</v>
      </c>
      <c r="W185" s="113" t="s">
        <v>181</v>
      </c>
      <c r="X185" s="113" t="s">
        <v>182</v>
      </c>
      <c r="Y185" s="113" t="s">
        <v>186</v>
      </c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>
        <v>409019</v>
      </c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11">
        <v>46249</v>
      </c>
      <c r="W186" s="111">
        <v>46249</v>
      </c>
      <c r="X186" s="111">
        <v>46249</v>
      </c>
      <c r="Y186" s="111">
        <v>46249</v>
      </c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>
        <v>1600</v>
      </c>
      <c r="F187" s="49" t="s">
        <v>59</v>
      </c>
      <c r="G187" s="49">
        <v>255000</v>
      </c>
      <c r="H187" s="49">
        <v>472708</v>
      </c>
      <c r="I187" s="49">
        <v>199500</v>
      </c>
      <c r="J187" s="49">
        <v>45950</v>
      </c>
      <c r="K187" s="49">
        <v>98066</v>
      </c>
      <c r="L187" s="49">
        <v>248387</v>
      </c>
      <c r="M187" s="49">
        <v>1600</v>
      </c>
      <c r="N187" s="49">
        <v>11130</v>
      </c>
      <c r="O187" s="49">
        <v>21800</v>
      </c>
      <c r="P187" s="49">
        <v>30000</v>
      </c>
      <c r="Q187" s="49">
        <v>40747</v>
      </c>
      <c r="R187" s="49">
        <v>409019</v>
      </c>
      <c r="S187" s="49">
        <v>88870</v>
      </c>
      <c r="T187" s="49">
        <v>9500</v>
      </c>
      <c r="U187" s="49">
        <v>10800</v>
      </c>
      <c r="V187" s="112">
        <v>193000</v>
      </c>
      <c r="W187" s="112">
        <v>29880</v>
      </c>
      <c r="X187" s="112">
        <v>9190</v>
      </c>
      <c r="Y187" s="112">
        <v>15540</v>
      </c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>
        <v>248387</v>
      </c>
      <c r="F188" s="57" t="s">
        <v>84</v>
      </c>
      <c r="G188" s="58">
        <f>SUM(G183:V183)</f>
        <v>2242047.9129999997</v>
      </c>
      <c r="I188" s="59" t="s">
        <v>33</v>
      </c>
      <c r="J188" s="60">
        <f>SUM(G182:V182)</f>
        <v>2194998.23</v>
      </c>
      <c r="L188" s="67" t="s">
        <v>77</v>
      </c>
      <c r="M188" s="68">
        <f>(G188-J188)</f>
        <v>47049.682999999728</v>
      </c>
      <c r="O188" s="61" t="s">
        <v>95</v>
      </c>
      <c r="P188" s="62">
        <f>SUM(G187:Y187)</f>
        <v>2190687</v>
      </c>
      <c r="Q188" s="20"/>
      <c r="R188" s="63" t="s">
        <v>85</v>
      </c>
      <c r="S188" s="64">
        <f>SUM(X182:AC182)</f>
        <v>45600</v>
      </c>
      <c r="T188" s="35"/>
      <c r="U188" s="20"/>
    </row>
    <row r="189" spans="1:45">
      <c r="A189" s="25">
        <v>14</v>
      </c>
      <c r="B189" s="26">
        <v>46203</v>
      </c>
      <c r="C189" s="27" t="s">
        <v>164</v>
      </c>
      <c r="D189" s="25"/>
    </row>
    <row r="190" spans="1:45">
      <c r="A190" s="25">
        <v>15</v>
      </c>
      <c r="B190" s="26">
        <v>46203</v>
      </c>
      <c r="C190" s="27" t="s">
        <v>178</v>
      </c>
      <c r="D190" s="25">
        <v>9500</v>
      </c>
    </row>
    <row r="191" spans="1:45">
      <c r="A191" s="25">
        <v>16</v>
      </c>
      <c r="B191" s="26">
        <v>46203</v>
      </c>
      <c r="C191" s="27" t="s">
        <v>48</v>
      </c>
      <c r="D191" s="25">
        <v>10800</v>
      </c>
    </row>
    <row r="192" spans="1:45" ht="18.600000000000001" thickBot="1">
      <c r="A192" s="121" t="s">
        <v>175</v>
      </c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0"/>
      <c r="V192" s="10"/>
      <c r="W192" s="10"/>
      <c r="X192" s="10"/>
      <c r="Y192" s="10"/>
      <c r="Z192" s="10"/>
      <c r="AA192" s="117"/>
      <c r="AB192" s="118"/>
      <c r="AC192" s="103"/>
      <c r="AE192" s="119" t="s">
        <v>83</v>
      </c>
      <c r="AF192" s="120"/>
      <c r="AG192" s="120"/>
      <c r="AH192" s="120"/>
      <c r="AI192" s="120"/>
      <c r="AJ192" s="120"/>
      <c r="AK192" s="120"/>
      <c r="AL192" s="120"/>
      <c r="AM192" s="120"/>
      <c r="AN192" s="120"/>
      <c r="AO192" s="120"/>
      <c r="AP192" s="120"/>
      <c r="AQ192" s="120"/>
      <c r="AR192" s="120"/>
      <c r="AS192" s="120"/>
    </row>
    <row r="193" spans="1:45" ht="43.8" thickBot="1">
      <c r="A193" s="11" t="s">
        <v>2</v>
      </c>
      <c r="B193" s="11" t="s">
        <v>3</v>
      </c>
      <c r="C193" s="11" t="s">
        <v>4</v>
      </c>
      <c r="D193" s="11" t="s">
        <v>5</v>
      </c>
      <c r="F193" s="7" t="s">
        <v>6</v>
      </c>
      <c r="G193" s="7" t="s">
        <v>7</v>
      </c>
      <c r="H193" s="7" t="s">
        <v>8</v>
      </c>
      <c r="I193" s="8" t="s">
        <v>9</v>
      </c>
      <c r="J193" s="8" t="s">
        <v>10</v>
      </c>
      <c r="K193" s="8" t="s">
        <v>11</v>
      </c>
      <c r="L193" s="8" t="s">
        <v>12</v>
      </c>
      <c r="M193" s="8" t="s">
        <v>13</v>
      </c>
      <c r="N193" s="8" t="s">
        <v>14</v>
      </c>
      <c r="O193" s="8" t="s">
        <v>15</v>
      </c>
      <c r="P193" s="8" t="s">
        <v>16</v>
      </c>
      <c r="Q193" s="8" t="s">
        <v>17</v>
      </c>
      <c r="R193" s="8" t="s">
        <v>18</v>
      </c>
      <c r="S193" s="8" t="s">
        <v>19</v>
      </c>
      <c r="T193" s="8" t="s">
        <v>20</v>
      </c>
      <c r="U193" s="8" t="s">
        <v>21</v>
      </c>
      <c r="V193" s="8" t="s">
        <v>22</v>
      </c>
      <c r="W193" s="74" t="s">
        <v>24</v>
      </c>
      <c r="X193" s="51" t="s">
        <v>23</v>
      </c>
      <c r="Y193" s="90" t="s">
        <v>108</v>
      </c>
      <c r="Z193" s="51" t="s">
        <v>70</v>
      </c>
      <c r="AA193" s="72" t="s">
        <v>107</v>
      </c>
      <c r="AB193" s="72" t="s">
        <v>116</v>
      </c>
      <c r="AC193" s="72" t="s">
        <v>136</v>
      </c>
      <c r="AE193" s="106" t="s">
        <v>127</v>
      </c>
      <c r="AF193" s="95" t="s">
        <v>7</v>
      </c>
      <c r="AG193" s="95" t="s">
        <v>9</v>
      </c>
      <c r="AH193" s="95" t="s">
        <v>11</v>
      </c>
      <c r="AI193" s="95" t="s">
        <v>15</v>
      </c>
      <c r="AJ193" s="95" t="s">
        <v>17</v>
      </c>
      <c r="AK193" s="95" t="s">
        <v>19</v>
      </c>
      <c r="AL193" s="95" t="s">
        <v>20</v>
      </c>
      <c r="AM193" s="95" t="s">
        <v>21</v>
      </c>
      <c r="AN193" s="95" t="s">
        <v>22</v>
      </c>
      <c r="AO193" s="95" t="s">
        <v>8</v>
      </c>
      <c r="AP193" s="95" t="s">
        <v>10</v>
      </c>
      <c r="AQ193" s="95" t="s">
        <v>128</v>
      </c>
      <c r="AR193" s="95" t="s">
        <v>16</v>
      </c>
      <c r="AS193" s="95" t="s">
        <v>18</v>
      </c>
    </row>
    <row r="194" spans="1:45">
      <c r="A194" s="25">
        <v>1</v>
      </c>
      <c r="B194" s="26">
        <v>46203</v>
      </c>
      <c r="C194" s="27" t="s">
        <v>144</v>
      </c>
      <c r="D194" s="25">
        <v>100000</v>
      </c>
      <c r="F194" s="14" t="s">
        <v>27</v>
      </c>
      <c r="G194" s="14">
        <v>213425</v>
      </c>
      <c r="H194" s="15">
        <v>19121</v>
      </c>
      <c r="I194" s="14">
        <v>204724</v>
      </c>
      <c r="J194" s="15">
        <v>16388</v>
      </c>
      <c r="K194" s="14">
        <v>204013</v>
      </c>
      <c r="L194" s="14">
        <f>SUM(M194:N194)</f>
        <v>16388</v>
      </c>
      <c r="M194" s="14">
        <v>13657</v>
      </c>
      <c r="N194" s="15">
        <v>2731</v>
      </c>
      <c r="O194" s="14">
        <v>186466</v>
      </c>
      <c r="P194" s="14">
        <v>16388.07</v>
      </c>
      <c r="Q194" s="14">
        <v>309604</v>
      </c>
      <c r="R194" s="14">
        <v>21852.5</v>
      </c>
      <c r="S194" s="14">
        <v>212179</v>
      </c>
      <c r="T194" s="14">
        <v>214017.13</v>
      </c>
      <c r="U194" s="14">
        <v>205207</v>
      </c>
      <c r="V194" s="14">
        <v>99304</v>
      </c>
      <c r="W194" s="76">
        <v>19121</v>
      </c>
      <c r="X194" s="78"/>
      <c r="Y194" s="78">
        <v>8000</v>
      </c>
      <c r="Z194" s="14">
        <v>15000</v>
      </c>
      <c r="AA194" s="79"/>
      <c r="AB194" s="79"/>
      <c r="AC194" s="79">
        <v>2500</v>
      </c>
      <c r="AD194" s="36" t="s">
        <v>81</v>
      </c>
      <c r="AE194" s="53" t="s">
        <v>91</v>
      </c>
      <c r="AF194" s="94"/>
      <c r="AG194" s="94"/>
      <c r="AH194" s="94"/>
      <c r="AI194" s="94"/>
      <c r="AJ194" s="94"/>
      <c r="AK194" s="94"/>
      <c r="AL194" s="94"/>
      <c r="AM194" s="94"/>
      <c r="AN194" s="94"/>
      <c r="AO194" s="94"/>
      <c r="AP194" s="94"/>
      <c r="AQ194" s="94"/>
      <c r="AR194" s="94"/>
      <c r="AS194" s="94"/>
    </row>
    <row r="195" spans="1:45">
      <c r="A195" s="25">
        <v>2</v>
      </c>
      <c r="B195" s="26">
        <v>46203</v>
      </c>
      <c r="C195" s="27" t="s">
        <v>157</v>
      </c>
      <c r="D195" s="25">
        <v>446560</v>
      </c>
      <c r="F195" s="14" t="s">
        <v>27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76">
        <v>16388</v>
      </c>
      <c r="X195" s="78"/>
      <c r="Y195" s="93"/>
      <c r="Z195" s="14">
        <v>6000</v>
      </c>
      <c r="AA195" s="79"/>
      <c r="AB195" s="79"/>
      <c r="AC195" s="79">
        <v>2000</v>
      </c>
      <c r="AD195" s="37" t="s">
        <v>82</v>
      </c>
      <c r="AE195" s="53" t="s">
        <v>90</v>
      </c>
      <c r="AF195" s="94"/>
      <c r="AG195" s="94"/>
      <c r="AH195" s="94"/>
      <c r="AI195" s="94"/>
      <c r="AJ195" s="94"/>
      <c r="AK195" s="94"/>
      <c r="AL195" s="94"/>
      <c r="AM195" s="94"/>
      <c r="AN195" s="94"/>
      <c r="AO195" s="94"/>
      <c r="AP195" s="94"/>
      <c r="AQ195" s="94"/>
      <c r="AR195" s="94"/>
      <c r="AS195" s="94"/>
    </row>
    <row r="196" spans="1:45">
      <c r="A196" s="25">
        <v>3</v>
      </c>
      <c r="B196" s="26">
        <v>46203</v>
      </c>
      <c r="C196" s="27" t="s">
        <v>29</v>
      </c>
      <c r="D196" s="25">
        <v>249900</v>
      </c>
      <c r="F196" s="14" t="s">
        <v>27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76">
        <v>2731</v>
      </c>
      <c r="X196" s="78"/>
      <c r="Y196" s="93"/>
      <c r="Z196" s="14">
        <v>6000</v>
      </c>
      <c r="AA196" s="79"/>
      <c r="AB196" s="79"/>
      <c r="AC196" s="79">
        <v>2000</v>
      </c>
      <c r="AE196" s="53" t="s">
        <v>119</v>
      </c>
      <c r="AF196" s="94"/>
      <c r="AG196" s="94"/>
      <c r="AH196" s="94"/>
      <c r="AI196" s="94"/>
      <c r="AJ196" s="94"/>
      <c r="AK196" s="94"/>
      <c r="AL196" s="94"/>
      <c r="AM196" s="94"/>
      <c r="AN196" s="94"/>
      <c r="AO196" s="94"/>
      <c r="AP196" s="94"/>
      <c r="AQ196" s="94"/>
      <c r="AR196" s="94"/>
      <c r="AS196" s="94"/>
    </row>
    <row r="197" spans="1:45" ht="15" thickBot="1">
      <c r="A197" s="25">
        <v>4</v>
      </c>
      <c r="B197" s="26">
        <v>46203</v>
      </c>
      <c r="C197" s="27" t="s">
        <v>125</v>
      </c>
      <c r="D197" s="25">
        <v>272999</v>
      </c>
      <c r="F197" s="14" t="s">
        <v>27</v>
      </c>
      <c r="G197" s="5"/>
      <c r="H197" s="5"/>
      <c r="I197" s="14"/>
      <c r="J197" s="5"/>
      <c r="K197" s="5"/>
      <c r="L197" s="5"/>
      <c r="M197" s="5"/>
      <c r="N197" s="5"/>
      <c r="O197" s="14"/>
      <c r="P197" s="5"/>
      <c r="Q197" s="5"/>
      <c r="R197" s="5"/>
      <c r="S197" s="5"/>
      <c r="T197" s="14"/>
      <c r="U197" s="5"/>
      <c r="V197" s="5"/>
      <c r="W197" s="89"/>
      <c r="X197" s="78"/>
      <c r="Y197" s="93"/>
      <c r="Z197" s="14"/>
      <c r="AA197" s="79"/>
      <c r="AB197" s="79"/>
      <c r="AC197" s="79"/>
      <c r="AE197" s="105" t="s">
        <v>120</v>
      </c>
      <c r="AF197" s="98"/>
      <c r="AG197" s="98"/>
      <c r="AH197" s="98"/>
      <c r="AI197" s="98"/>
      <c r="AJ197" s="94"/>
      <c r="AK197" s="94"/>
      <c r="AL197" s="94"/>
      <c r="AM197" s="94"/>
      <c r="AN197" s="94"/>
      <c r="AO197" s="94"/>
      <c r="AP197" s="94"/>
      <c r="AQ197" s="94"/>
      <c r="AR197" s="94"/>
      <c r="AS197" s="94"/>
    </row>
    <row r="198" spans="1:45" ht="15" thickBot="1">
      <c r="A198" s="25">
        <v>5</v>
      </c>
      <c r="B198" s="26">
        <v>46203</v>
      </c>
      <c r="C198" s="27" t="s">
        <v>159</v>
      </c>
      <c r="D198" s="25">
        <v>77100</v>
      </c>
      <c r="F198" s="14" t="s">
        <v>27</v>
      </c>
      <c r="G198" s="5"/>
      <c r="H198" s="5"/>
      <c r="I198" s="14"/>
      <c r="J198" s="5"/>
      <c r="K198" s="5"/>
      <c r="L198" s="5"/>
      <c r="M198" s="5"/>
      <c r="N198" s="5"/>
      <c r="O198" s="14"/>
      <c r="P198" s="5"/>
      <c r="Q198" s="5"/>
      <c r="R198" s="5"/>
      <c r="S198" s="5"/>
      <c r="T198" s="14"/>
      <c r="U198" s="5"/>
      <c r="V198" s="5"/>
      <c r="W198" s="89"/>
      <c r="X198" s="78"/>
      <c r="Y198" s="93"/>
      <c r="Z198" s="14"/>
      <c r="AA198" s="79"/>
      <c r="AB198" s="79"/>
      <c r="AC198" s="79"/>
      <c r="AD198" s="99" t="s">
        <v>92</v>
      </c>
      <c r="AE198" s="100">
        <f>SUM(AF198:AS198)</f>
        <v>0</v>
      </c>
      <c r="AF198" s="101">
        <f t="shared" ref="AF198:AG198" si="99">SUM(AF194:AF197)</f>
        <v>0</v>
      </c>
      <c r="AG198" s="101">
        <f t="shared" si="99"/>
        <v>0</v>
      </c>
      <c r="AH198" s="101">
        <f>SUM(AH194:AH197)</f>
        <v>0</v>
      </c>
      <c r="AI198" s="101">
        <f t="shared" ref="AI198:AS198" si="100">SUM(AI194:AI197)</f>
        <v>0</v>
      </c>
      <c r="AJ198" s="101">
        <f t="shared" si="100"/>
        <v>0</v>
      </c>
      <c r="AK198" s="101">
        <f t="shared" si="100"/>
        <v>0</v>
      </c>
      <c r="AL198" s="101">
        <f t="shared" si="100"/>
        <v>0</v>
      </c>
      <c r="AM198" s="101">
        <f t="shared" si="100"/>
        <v>0</v>
      </c>
      <c r="AN198" s="101">
        <f t="shared" si="100"/>
        <v>0</v>
      </c>
      <c r="AO198" s="101">
        <f t="shared" si="100"/>
        <v>0</v>
      </c>
      <c r="AP198" s="101">
        <f t="shared" si="100"/>
        <v>0</v>
      </c>
      <c r="AQ198" s="101">
        <f t="shared" si="100"/>
        <v>0</v>
      </c>
      <c r="AR198" s="101">
        <f t="shared" si="100"/>
        <v>0</v>
      </c>
      <c r="AS198" s="101">
        <f t="shared" si="100"/>
        <v>0</v>
      </c>
    </row>
    <row r="199" spans="1:45" ht="15" thickBot="1">
      <c r="A199" s="25">
        <v>6</v>
      </c>
      <c r="B199" s="26">
        <v>46203</v>
      </c>
      <c r="C199" s="27" t="s">
        <v>30</v>
      </c>
      <c r="D199" s="25">
        <v>10149</v>
      </c>
      <c r="F199" s="14" t="s">
        <v>27</v>
      </c>
      <c r="G199" s="5"/>
      <c r="H199" s="5"/>
      <c r="I199" s="14"/>
      <c r="J199" s="5"/>
      <c r="K199" s="5"/>
      <c r="L199" s="5"/>
      <c r="M199" s="5"/>
      <c r="N199" s="5"/>
      <c r="O199" s="14"/>
      <c r="P199" s="5"/>
      <c r="Q199" s="5"/>
      <c r="R199" s="5"/>
      <c r="S199" s="5"/>
      <c r="T199" s="14"/>
      <c r="U199" s="5"/>
      <c r="V199" s="5"/>
      <c r="W199" s="89"/>
      <c r="X199" s="78"/>
      <c r="Y199" s="93"/>
      <c r="Z199" s="14"/>
      <c r="AA199" s="79"/>
      <c r="AB199" s="79"/>
      <c r="AC199" s="79"/>
    </row>
    <row r="200" spans="1:45" ht="29.4" thickBot="1">
      <c r="A200" s="25">
        <v>7</v>
      </c>
      <c r="B200" s="26">
        <v>46203</v>
      </c>
      <c r="C200" s="27" t="s">
        <v>31</v>
      </c>
      <c r="D200" s="25">
        <v>21800</v>
      </c>
      <c r="F200" s="40" t="s">
        <v>33</v>
      </c>
      <c r="G200" s="6">
        <f>SUM(G194:G199)</f>
        <v>213425</v>
      </c>
      <c r="H200" s="6">
        <f>SUM(H194:H199)</f>
        <v>19121</v>
      </c>
      <c r="I200" s="6">
        <f t="shared" ref="I200:L200" si="101">SUM(I194:I199)</f>
        <v>204724</v>
      </c>
      <c r="J200" s="6">
        <f t="shared" si="101"/>
        <v>16388</v>
      </c>
      <c r="K200" s="6">
        <f t="shared" si="101"/>
        <v>204013</v>
      </c>
      <c r="L200" s="6">
        <f t="shared" si="101"/>
        <v>16388</v>
      </c>
      <c r="M200" s="6"/>
      <c r="N200" s="6"/>
      <c r="O200" s="6">
        <f>SUM(O194:O199)</f>
        <v>186466</v>
      </c>
      <c r="P200" s="6">
        <f t="shared" ref="P200:V200" si="102">SUM(P194:P199)</f>
        <v>16388.07</v>
      </c>
      <c r="Q200" s="6">
        <f t="shared" si="102"/>
        <v>309604</v>
      </c>
      <c r="R200" s="6">
        <f t="shared" si="102"/>
        <v>21852.5</v>
      </c>
      <c r="S200" s="6">
        <f t="shared" si="102"/>
        <v>212179</v>
      </c>
      <c r="T200" s="6">
        <f t="shared" si="102"/>
        <v>214017.13</v>
      </c>
      <c r="U200" s="6">
        <f t="shared" si="102"/>
        <v>205207</v>
      </c>
      <c r="V200" s="6">
        <f t="shared" si="102"/>
        <v>99304</v>
      </c>
      <c r="W200" s="6">
        <f>SUM(W194:W199)</f>
        <v>38240</v>
      </c>
      <c r="X200" s="55">
        <f t="shared" ref="X200:AC200" si="103">SUM(X194:X199)</f>
        <v>0</v>
      </c>
      <c r="Y200" s="55">
        <f t="shared" si="103"/>
        <v>8000</v>
      </c>
      <c r="Z200" s="55">
        <f t="shared" si="103"/>
        <v>27000</v>
      </c>
      <c r="AA200" s="55">
        <f t="shared" si="103"/>
        <v>0</v>
      </c>
      <c r="AB200" s="55">
        <f t="shared" si="103"/>
        <v>0</v>
      </c>
      <c r="AC200" s="55">
        <f t="shared" si="103"/>
        <v>6500</v>
      </c>
    </row>
    <row r="201" spans="1:45" ht="28.8">
      <c r="A201" s="25">
        <v>8</v>
      </c>
      <c r="B201" s="26">
        <v>46203</v>
      </c>
      <c r="C201" s="27" t="s">
        <v>117</v>
      </c>
      <c r="D201" s="25">
        <v>30000</v>
      </c>
      <c r="F201" s="44" t="s">
        <v>35</v>
      </c>
      <c r="G201" s="39">
        <v>213424.77</v>
      </c>
      <c r="H201" s="39">
        <v>19121.25</v>
      </c>
      <c r="I201" s="39">
        <v>204724</v>
      </c>
      <c r="J201" s="39">
        <v>16388.07</v>
      </c>
      <c r="K201" s="39">
        <v>204013</v>
      </c>
      <c r="L201" s="39">
        <v>16388.07</v>
      </c>
      <c r="M201" s="39"/>
      <c r="N201" s="39"/>
      <c r="O201" s="39">
        <v>186466</v>
      </c>
      <c r="P201" s="39">
        <v>16388.07</v>
      </c>
      <c r="Q201" s="39">
        <v>309604.52</v>
      </c>
      <c r="R201" s="39">
        <v>21852.5</v>
      </c>
      <c r="S201" s="39">
        <v>212179.1</v>
      </c>
      <c r="T201" s="39">
        <v>214017.1</v>
      </c>
      <c r="U201" s="39">
        <v>205206.6</v>
      </c>
      <c r="V201" s="39">
        <v>99303.81</v>
      </c>
      <c r="W201" s="20"/>
      <c r="X201" s="20"/>
      <c r="Y201" s="20"/>
      <c r="Z201" s="20"/>
      <c r="AA201" s="20"/>
      <c r="AB201" s="20"/>
      <c r="AC201" s="20"/>
    </row>
    <row r="202" spans="1:45">
      <c r="A202" s="25">
        <v>9</v>
      </c>
      <c r="B202" s="26">
        <v>46203</v>
      </c>
      <c r="C202" s="27" t="s">
        <v>118</v>
      </c>
      <c r="D202" s="25">
        <v>41979</v>
      </c>
      <c r="F202" s="46" t="s">
        <v>87</v>
      </c>
      <c r="G202" s="54">
        <f t="shared" ref="G202" si="104">(G201-G200)</f>
        <v>-0.23000000001047738</v>
      </c>
      <c r="H202" s="54">
        <f>(H201-H200)</f>
        <v>0.25</v>
      </c>
      <c r="I202" s="54">
        <f t="shared" ref="I202:L202" si="105">(I201-I200)</f>
        <v>0</v>
      </c>
      <c r="J202" s="54">
        <f t="shared" si="105"/>
        <v>6.9999999999708962E-2</v>
      </c>
      <c r="K202" s="54">
        <f t="shared" si="105"/>
        <v>0</v>
      </c>
      <c r="L202" s="54">
        <f t="shared" si="105"/>
        <v>6.9999999999708962E-2</v>
      </c>
      <c r="M202" s="54"/>
      <c r="N202" s="54"/>
      <c r="O202" s="54">
        <f>(O201-O200)</f>
        <v>0</v>
      </c>
      <c r="P202" s="54">
        <f>(P201-P200)</f>
        <v>0</v>
      </c>
      <c r="Q202" s="54">
        <f t="shared" ref="Q202:R202" si="106">(Q201-Q200)</f>
        <v>0.52000000001862645</v>
      </c>
      <c r="R202" s="54">
        <f t="shared" si="106"/>
        <v>0</v>
      </c>
      <c r="S202" s="54">
        <f>(S201-S200)</f>
        <v>0.10000000000582077</v>
      </c>
      <c r="T202" s="54">
        <f t="shared" ref="T202:U202" si="107">(T201-T200)</f>
        <v>-2.9999999998835847E-2</v>
      </c>
      <c r="U202" s="54">
        <f t="shared" si="107"/>
        <v>-0.39999999999417923</v>
      </c>
      <c r="V202" s="54">
        <f>(V201-V200)</f>
        <v>-0.19000000000232831</v>
      </c>
      <c r="W202" s="31"/>
      <c r="X202" s="31"/>
      <c r="Y202" s="31"/>
      <c r="Z202" s="31"/>
      <c r="AA202" s="31"/>
      <c r="AB202" s="31"/>
      <c r="AC202" s="31"/>
    </row>
    <row r="203" spans="1:45" ht="43.2">
      <c r="A203" s="25">
        <v>10</v>
      </c>
      <c r="B203" s="26">
        <v>46203</v>
      </c>
      <c r="C203" s="27" t="s">
        <v>176</v>
      </c>
      <c r="D203" s="25">
        <v>68570</v>
      </c>
      <c r="F203" s="7" t="s">
        <v>4</v>
      </c>
      <c r="G203" s="7" t="s">
        <v>38</v>
      </c>
      <c r="H203" s="8" t="s">
        <v>158</v>
      </c>
      <c r="I203" s="8" t="s">
        <v>145</v>
      </c>
      <c r="J203" s="8" t="s">
        <v>160</v>
      </c>
      <c r="K203" s="8" t="s">
        <v>144</v>
      </c>
      <c r="L203" s="32" t="s">
        <v>147</v>
      </c>
      <c r="M203" s="32" t="s">
        <v>131</v>
      </c>
      <c r="N203" s="29" t="s">
        <v>45</v>
      </c>
      <c r="O203" s="29" t="s">
        <v>46</v>
      </c>
      <c r="P203" s="29" t="s">
        <v>117</v>
      </c>
      <c r="Q203" s="29" t="s">
        <v>118</v>
      </c>
      <c r="R203" s="30" t="s">
        <v>50</v>
      </c>
      <c r="S203" s="32" t="s">
        <v>51</v>
      </c>
      <c r="T203" s="32" t="s">
        <v>178</v>
      </c>
      <c r="U203" s="113" t="s">
        <v>180</v>
      </c>
      <c r="V203" s="113" t="s">
        <v>184</v>
      </c>
      <c r="W203" s="113" t="s">
        <v>185</v>
      </c>
      <c r="X203" s="113" t="s">
        <v>192</v>
      </c>
      <c r="Y203" s="113" t="s">
        <v>193</v>
      </c>
      <c r="Z203" s="113" t="s">
        <v>194</v>
      </c>
      <c r="AA203" s="113" t="s">
        <v>195</v>
      </c>
      <c r="AB203" s="113" t="s">
        <v>196</v>
      </c>
      <c r="AC203" s="113" t="s">
        <v>199</v>
      </c>
      <c r="AD203" s="113" t="s">
        <v>197</v>
      </c>
      <c r="AE203" s="113" t="s">
        <v>198</v>
      </c>
    </row>
    <row r="204" spans="1:45">
      <c r="A204" s="25">
        <v>11</v>
      </c>
      <c r="B204" s="26">
        <v>46203</v>
      </c>
      <c r="C204" s="27" t="s">
        <v>177</v>
      </c>
      <c r="D204" s="25">
        <v>339330</v>
      </c>
      <c r="F204" s="14" t="s">
        <v>3</v>
      </c>
      <c r="G204" s="19">
        <v>46280</v>
      </c>
      <c r="H204" s="19">
        <v>46280</v>
      </c>
      <c r="I204" s="19">
        <v>46280</v>
      </c>
      <c r="J204" s="19">
        <v>46280</v>
      </c>
      <c r="K204" s="19">
        <v>46280</v>
      </c>
      <c r="L204" s="19">
        <v>46280</v>
      </c>
      <c r="M204" s="19">
        <v>46280</v>
      </c>
      <c r="N204" s="19">
        <v>46280</v>
      </c>
      <c r="O204" s="19">
        <v>46280</v>
      </c>
      <c r="P204" s="19">
        <v>46280</v>
      </c>
      <c r="Q204" s="19">
        <v>46280</v>
      </c>
      <c r="R204" s="19">
        <v>46280</v>
      </c>
      <c r="S204" s="19">
        <v>46280</v>
      </c>
      <c r="T204" s="19">
        <v>46280</v>
      </c>
      <c r="U204" s="111">
        <v>46280</v>
      </c>
      <c r="V204" s="111">
        <v>46280</v>
      </c>
      <c r="W204" s="111">
        <v>46280</v>
      </c>
      <c r="X204" s="111">
        <v>46280</v>
      </c>
      <c r="Y204" s="111">
        <v>46280</v>
      </c>
      <c r="Z204" s="111">
        <v>46280</v>
      </c>
      <c r="AA204" s="111">
        <v>46280</v>
      </c>
      <c r="AB204" s="111">
        <v>46280</v>
      </c>
      <c r="AC204" s="111">
        <v>46280</v>
      </c>
      <c r="AD204" s="111">
        <v>46280</v>
      </c>
      <c r="AE204" s="111">
        <v>46280</v>
      </c>
    </row>
    <row r="205" spans="1:45" ht="15" thickBot="1">
      <c r="A205" s="25">
        <v>12</v>
      </c>
      <c r="B205" s="26">
        <v>46203</v>
      </c>
      <c r="C205" s="27" t="s">
        <v>131</v>
      </c>
      <c r="D205" s="25">
        <v>6000</v>
      </c>
      <c r="F205" s="49" t="s">
        <v>59</v>
      </c>
      <c r="G205" s="49">
        <v>249900</v>
      </c>
      <c r="H205" s="49">
        <v>446560</v>
      </c>
      <c r="I205" s="49">
        <v>272999</v>
      </c>
      <c r="J205" s="49">
        <v>77100</v>
      </c>
      <c r="K205" s="49">
        <v>100000</v>
      </c>
      <c r="L205" s="49">
        <v>269937</v>
      </c>
      <c r="M205" s="49">
        <v>6000</v>
      </c>
      <c r="N205" s="49">
        <v>10149</v>
      </c>
      <c r="O205" s="49">
        <v>21800</v>
      </c>
      <c r="P205" s="49">
        <v>30000</v>
      </c>
      <c r="Q205" s="49">
        <v>41979</v>
      </c>
      <c r="R205" s="49">
        <v>339330</v>
      </c>
      <c r="S205" s="49">
        <v>68570</v>
      </c>
      <c r="T205" s="49">
        <v>4750</v>
      </c>
      <c r="U205" s="112">
        <v>11965</v>
      </c>
      <c r="V205" s="112">
        <v>5900</v>
      </c>
      <c r="W205" s="112">
        <v>10000</v>
      </c>
      <c r="X205" s="112">
        <v>28260</v>
      </c>
      <c r="Y205" s="112">
        <v>45000</v>
      </c>
      <c r="Z205" s="112">
        <v>6000</v>
      </c>
      <c r="AA205" s="112">
        <v>43000</v>
      </c>
      <c r="AB205" s="112">
        <v>3000</v>
      </c>
      <c r="AC205" s="112">
        <v>12914</v>
      </c>
      <c r="AD205" s="112">
        <v>1200</v>
      </c>
      <c r="AE205" s="112">
        <v>3190</v>
      </c>
    </row>
    <row r="206" spans="1:45" ht="43.8" thickBot="1">
      <c r="A206" s="25">
        <v>13</v>
      </c>
      <c r="B206" s="26">
        <v>46203</v>
      </c>
      <c r="C206" s="27" t="s">
        <v>147</v>
      </c>
      <c r="D206" s="25">
        <v>269937</v>
      </c>
      <c r="F206" s="57" t="s">
        <v>84</v>
      </c>
      <c r="G206" s="58">
        <f>SUM(G201:V201)</f>
        <v>1939076.8600000003</v>
      </c>
      <c r="I206" s="59" t="s">
        <v>33</v>
      </c>
      <c r="J206" s="60">
        <f>SUM(G200:V200)</f>
        <v>1939076.6999999997</v>
      </c>
      <c r="L206" s="67" t="s">
        <v>77</v>
      </c>
      <c r="M206" s="68">
        <f>(G206-J206)</f>
        <v>0.1600000006146729</v>
      </c>
      <c r="O206" s="61" t="s">
        <v>95</v>
      </c>
      <c r="P206" s="62">
        <f>SUM(G205:AE205)</f>
        <v>2109503</v>
      </c>
      <c r="Q206" s="20"/>
      <c r="R206" s="63" t="s">
        <v>85</v>
      </c>
      <c r="S206" s="64">
        <f>SUM(X200:AC200)</f>
        <v>41500</v>
      </c>
      <c r="T206" s="35"/>
      <c r="U206" s="20"/>
    </row>
    <row r="207" spans="1:45">
      <c r="A207" s="25">
        <v>14</v>
      </c>
      <c r="B207" s="26">
        <v>46203</v>
      </c>
      <c r="C207" s="27" t="s">
        <v>164</v>
      </c>
      <c r="D207" s="25"/>
    </row>
    <row r="208" spans="1:45">
      <c r="A208" s="25">
        <v>15</v>
      </c>
      <c r="B208" s="26">
        <v>46203</v>
      </c>
      <c r="C208" s="27" t="s">
        <v>178</v>
      </c>
      <c r="D208" s="25">
        <v>4750</v>
      </c>
    </row>
    <row r="209" spans="1:4">
      <c r="A209" s="25">
        <v>16</v>
      </c>
      <c r="B209" s="26">
        <v>46203</v>
      </c>
      <c r="C209" s="27"/>
      <c r="D209" s="25"/>
    </row>
  </sheetData>
  <mergeCells count="80">
    <mergeCell ref="AE103:AS103"/>
    <mergeCell ref="AE120:AS120"/>
    <mergeCell ref="AE37:AS37"/>
    <mergeCell ref="AE54:AS54"/>
    <mergeCell ref="AE69:AS69"/>
    <mergeCell ref="AE87:AS87"/>
    <mergeCell ref="A103:D103"/>
    <mergeCell ref="E103:H103"/>
    <mergeCell ref="I103:L103"/>
    <mergeCell ref="M103:P103"/>
    <mergeCell ref="Q103:T103"/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A87:D87"/>
    <mergeCell ref="E87:H87"/>
    <mergeCell ref="I87:L87"/>
    <mergeCell ref="M87:P87"/>
    <mergeCell ref="Q87:T87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A139:AB139"/>
    <mergeCell ref="AE139:AS139"/>
    <mergeCell ref="A139:D139"/>
    <mergeCell ref="E139:H139"/>
    <mergeCell ref="I139:L139"/>
    <mergeCell ref="M139:P139"/>
    <mergeCell ref="Q139:T139"/>
    <mergeCell ref="E158:H158"/>
    <mergeCell ref="A158:D158"/>
    <mergeCell ref="AE158:AS158"/>
    <mergeCell ref="AA158:AB158"/>
    <mergeCell ref="Q158:T158"/>
    <mergeCell ref="M158:P158"/>
    <mergeCell ref="I158:L158"/>
    <mergeCell ref="AA174:AB174"/>
    <mergeCell ref="AE174:AS174"/>
    <mergeCell ref="A174:D174"/>
    <mergeCell ref="E174:H174"/>
    <mergeCell ref="I174:L174"/>
    <mergeCell ref="M174:P174"/>
    <mergeCell ref="Q174:T174"/>
    <mergeCell ref="AA192:AB192"/>
    <mergeCell ref="AE192:AS192"/>
    <mergeCell ref="A192:D192"/>
    <mergeCell ref="E192:H192"/>
    <mergeCell ref="I192:L192"/>
    <mergeCell ref="M192:P192"/>
    <mergeCell ref="Q192:T192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7" sqref="A7:XFD7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  <col min="3" max="3" width="23.33203125" bestFit="1" customWidth="1"/>
    <col min="4" max="4" width="7" bestFit="1" customWidth="1"/>
  </cols>
  <sheetData>
    <row r="1" spans="1:4">
      <c r="A1" s="1" t="s">
        <v>79</v>
      </c>
      <c r="B1" s="1" t="s">
        <v>80</v>
      </c>
    </row>
    <row r="2" spans="1:4">
      <c r="A2" s="2">
        <v>45976</v>
      </c>
      <c r="B2" s="3">
        <v>2000</v>
      </c>
    </row>
    <row r="3" spans="1:4">
      <c r="A3" s="2">
        <v>46039</v>
      </c>
      <c r="B3" s="3">
        <v>2000</v>
      </c>
    </row>
    <row r="4" spans="1:4">
      <c r="A4" s="2">
        <v>46039</v>
      </c>
      <c r="B4" s="3">
        <v>2000</v>
      </c>
    </row>
    <row r="8" spans="1:4">
      <c r="C8" t="s">
        <v>155</v>
      </c>
      <c r="D8">
        <v>45000</v>
      </c>
    </row>
    <row r="9" spans="1:4">
      <c r="C9" t="s">
        <v>166</v>
      </c>
      <c r="D9">
        <v>10800</v>
      </c>
    </row>
    <row r="10" spans="1:4">
      <c r="C10" t="s">
        <v>112</v>
      </c>
      <c r="D10">
        <v>12555</v>
      </c>
    </row>
    <row r="11" spans="1:4">
      <c r="C11" t="s">
        <v>143</v>
      </c>
      <c r="D11">
        <v>13500</v>
      </c>
    </row>
    <row r="12" spans="1:4">
      <c r="C12" t="s">
        <v>156</v>
      </c>
      <c r="D12">
        <v>48500</v>
      </c>
    </row>
    <row r="13" spans="1:4">
      <c r="C13" t="s">
        <v>149</v>
      </c>
      <c r="D13">
        <v>18000</v>
      </c>
    </row>
    <row r="14" spans="1:4">
      <c r="C14" t="s">
        <v>154</v>
      </c>
      <c r="D14">
        <v>50976</v>
      </c>
    </row>
    <row r="15" spans="1:4">
      <c r="C15" t="s">
        <v>165</v>
      </c>
      <c r="D15">
        <v>219100</v>
      </c>
    </row>
    <row r="16" spans="1:4">
      <c r="C16" t="s">
        <v>173</v>
      </c>
      <c r="D16">
        <v>18880</v>
      </c>
    </row>
    <row r="17" spans="3:4">
      <c r="C17" t="s">
        <v>168</v>
      </c>
      <c r="D17">
        <v>298970</v>
      </c>
    </row>
    <row r="18" spans="3:4">
      <c r="C18" t="s">
        <v>169</v>
      </c>
      <c r="D18">
        <v>169250</v>
      </c>
    </row>
    <row r="19" spans="3:4">
      <c r="C19" t="s">
        <v>170</v>
      </c>
      <c r="D19">
        <v>87108</v>
      </c>
    </row>
    <row r="20" spans="3:4">
      <c r="C20" t="s">
        <v>171</v>
      </c>
      <c r="D20">
        <v>70800</v>
      </c>
    </row>
    <row r="21" spans="3:4">
      <c r="C21" t="s">
        <v>172</v>
      </c>
      <c r="D21">
        <v>107500</v>
      </c>
    </row>
    <row r="22" spans="3:4">
      <c r="C22" t="s">
        <v>166</v>
      </c>
      <c r="D22">
        <v>5900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2:D36"/>
  <sheetViews>
    <sheetView workbookViewId="0">
      <selection activeCell="H38" sqref="H38"/>
    </sheetView>
  </sheetViews>
  <sheetFormatPr defaultRowHeight="14.4"/>
  <cols>
    <col min="3" max="3" width="30.5546875" customWidth="1"/>
    <col min="4" max="4" width="8" bestFit="1" customWidth="1"/>
  </cols>
  <sheetData>
    <row r="2" spans="3:4">
      <c r="C2" s="116" t="s">
        <v>155</v>
      </c>
      <c r="D2">
        <v>45000</v>
      </c>
    </row>
    <row r="3" spans="3:4">
      <c r="C3" s="116" t="s">
        <v>166</v>
      </c>
      <c r="D3">
        <v>10800</v>
      </c>
    </row>
    <row r="4" spans="3:4">
      <c r="C4" s="116" t="s">
        <v>112</v>
      </c>
      <c r="D4">
        <v>12555</v>
      </c>
    </row>
    <row r="5" spans="3:4">
      <c r="C5" s="116" t="s">
        <v>143</v>
      </c>
      <c r="D5">
        <v>13500</v>
      </c>
    </row>
    <row r="6" spans="3:4">
      <c r="C6" s="116" t="s">
        <v>156</v>
      </c>
      <c r="D6">
        <v>48500</v>
      </c>
    </row>
    <row r="7" spans="3:4">
      <c r="C7" s="116" t="s">
        <v>149</v>
      </c>
      <c r="D7">
        <v>18000</v>
      </c>
    </row>
    <row r="8" spans="3:4">
      <c r="C8" s="116" t="s">
        <v>186</v>
      </c>
      <c r="D8">
        <v>23163</v>
      </c>
    </row>
    <row r="9" spans="3:4">
      <c r="C9" s="116" t="s">
        <v>154</v>
      </c>
      <c r="D9">
        <v>50976</v>
      </c>
    </row>
    <row r="10" spans="3:4">
      <c r="C10" s="116" t="s">
        <v>173</v>
      </c>
      <c r="D10">
        <v>18880</v>
      </c>
    </row>
    <row r="11" spans="3:4" ht="18" customHeight="1">
      <c r="C11" s="116" t="s">
        <v>187</v>
      </c>
      <c r="D11">
        <v>219000</v>
      </c>
    </row>
    <row r="12" spans="3:4">
      <c r="C12" s="116" t="s">
        <v>188</v>
      </c>
      <c r="D12">
        <v>169250</v>
      </c>
    </row>
    <row r="13" spans="3:4">
      <c r="C13" s="116" t="s">
        <v>189</v>
      </c>
      <c r="D13">
        <v>87108</v>
      </c>
    </row>
    <row r="14" spans="3:4">
      <c r="C14" s="116" t="s">
        <v>191</v>
      </c>
      <c r="D14">
        <v>70800</v>
      </c>
    </row>
    <row r="15" spans="3:4">
      <c r="C15" s="116" t="s">
        <v>190</v>
      </c>
      <c r="D15">
        <v>107500</v>
      </c>
    </row>
    <row r="16" spans="3:4">
      <c r="C16" s="116" t="s">
        <v>166</v>
      </c>
      <c r="D16">
        <v>5900</v>
      </c>
    </row>
    <row r="17" spans="3:4">
      <c r="C17" s="116" t="s">
        <v>179</v>
      </c>
      <c r="D17">
        <v>193000</v>
      </c>
    </row>
    <row r="18" spans="3:4">
      <c r="C18" s="116" t="s">
        <v>181</v>
      </c>
      <c r="D18">
        <v>29880</v>
      </c>
    </row>
    <row r="19" spans="3:4">
      <c r="C19" s="116" t="s">
        <v>183</v>
      </c>
      <c r="D19">
        <v>9190</v>
      </c>
    </row>
    <row r="20" spans="3:4">
      <c r="C20" s="116" t="s">
        <v>186</v>
      </c>
      <c r="D20">
        <v>15540</v>
      </c>
    </row>
    <row r="21" spans="3:4" ht="28.8">
      <c r="C21" s="116" t="s">
        <v>180</v>
      </c>
      <c r="D21">
        <v>11965</v>
      </c>
    </row>
    <row r="22" spans="3:4">
      <c r="C22" s="116" t="s">
        <v>184</v>
      </c>
      <c r="D22">
        <v>5900</v>
      </c>
    </row>
    <row r="23" spans="3:4" ht="28.8">
      <c r="C23" s="116" t="s">
        <v>185</v>
      </c>
      <c r="D23">
        <v>10000</v>
      </c>
    </row>
    <row r="24" spans="3:4">
      <c r="C24" s="116" t="s">
        <v>192</v>
      </c>
      <c r="D24">
        <v>28260</v>
      </c>
    </row>
    <row r="25" spans="3:4">
      <c r="C25" s="116" t="s">
        <v>193</v>
      </c>
      <c r="D25">
        <v>45000</v>
      </c>
    </row>
    <row r="26" spans="3:4">
      <c r="C26" s="116" t="s">
        <v>194</v>
      </c>
      <c r="D26">
        <v>6000</v>
      </c>
    </row>
    <row r="27" spans="3:4">
      <c r="C27" s="116" t="s">
        <v>195</v>
      </c>
      <c r="D27">
        <v>43000</v>
      </c>
    </row>
    <row r="28" spans="3:4">
      <c r="C28" t="s">
        <v>196</v>
      </c>
      <c r="D28">
        <v>3000</v>
      </c>
    </row>
    <row r="29" spans="3:4">
      <c r="C29" t="s">
        <v>199</v>
      </c>
      <c r="D29">
        <v>12914</v>
      </c>
    </row>
    <row r="30" spans="3:4">
      <c r="C30" s="116" t="s">
        <v>197</v>
      </c>
      <c r="D30">
        <v>1200</v>
      </c>
    </row>
    <row r="31" spans="3:4">
      <c r="C31" t="s">
        <v>198</v>
      </c>
      <c r="D31">
        <v>3190</v>
      </c>
    </row>
    <row r="32" spans="3:4">
      <c r="C32" t="s">
        <v>200</v>
      </c>
      <c r="D32">
        <v>23302</v>
      </c>
    </row>
    <row r="33" spans="3:4">
      <c r="C33" t="s">
        <v>201</v>
      </c>
      <c r="D33">
        <v>9180</v>
      </c>
    </row>
    <row r="34" spans="3:4">
      <c r="C34" s="116" t="s">
        <v>186</v>
      </c>
      <c r="D34">
        <v>27685</v>
      </c>
    </row>
    <row r="35" spans="3:4">
      <c r="C35" t="s">
        <v>202</v>
      </c>
      <c r="D35">
        <v>174800</v>
      </c>
    </row>
    <row r="36" spans="3:4">
      <c r="C36" t="s">
        <v>203</v>
      </c>
      <c r="D36">
        <v>183250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2026-09-26T09:34:00Z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