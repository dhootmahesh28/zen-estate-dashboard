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6\"/>
    </mc:Choice>
  </mc:AlternateContent>
  <xr:revisionPtr revIDLastSave="0" documentId="13_ncr:1_{E2516A05-BEB9-4867-AC85-E7EB9DE6D89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8" i="1" l="1"/>
  <c r="S172" i="1"/>
  <c r="S153" i="1"/>
  <c r="S134" i="1"/>
  <c r="S117" i="1"/>
  <c r="S101" i="1"/>
  <c r="S83" i="1"/>
  <c r="S68" i="1"/>
  <c r="S35" i="1"/>
  <c r="L162" i="1"/>
  <c r="L161" i="1"/>
  <c r="L166" i="1" s="1"/>
  <c r="L160" i="1" l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J172" i="1" l="1"/>
  <c r="P188" i="1"/>
  <c r="J188" i="1"/>
  <c r="G188" i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W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P172" i="1"/>
  <c r="G153" i="1"/>
  <c r="P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J153" i="1"/>
  <c r="M153" i="1" s="1"/>
  <c r="AE164" i="1"/>
  <c r="M172" i="1"/>
  <c r="G168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Q97" i="1"/>
  <c r="L5" i="1" l="1"/>
  <c r="L4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AJ8" i="1"/>
  <c r="AO8" i="1"/>
  <c r="AN8" i="1"/>
  <c r="AP8" i="1"/>
  <c r="AQ8" i="1"/>
  <c r="AM8" i="1"/>
  <c r="AF8" i="1"/>
  <c r="AE8" i="1"/>
  <c r="J15" i="1"/>
  <c r="M15" i="1"/>
  <c r="AK8" i="1"/>
  <c r="AS8" i="1"/>
  <c r="AI8" i="1"/>
  <c r="AH8" i="1"/>
  <c r="AG8" i="1"/>
  <c r="AR8" i="1"/>
  <c r="AL8" i="1"/>
</calcChain>
</file>

<file path=xl/sharedStrings.xml><?xml version="1.0" encoding="utf-8"?>
<sst xmlns="http://schemas.openxmlformats.org/spreadsheetml/2006/main" count="1172" uniqueCount="175">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</sst>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91"/>
  <sheetViews>
    <sheetView tabSelected="1" topLeftCell="H155" zoomScale="55" zoomScaleNormal="55" workbookViewId="0">
      <selection activeCell="C189" sqref="C189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5.664062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20" t="s">
        <v>1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0"/>
      <c r="V2" s="10"/>
      <c r="W2" s="10"/>
      <c r="X2" s="10"/>
      <c r="Y2" s="82"/>
      <c r="Z2" s="73"/>
      <c r="AE2" s="121" t="s">
        <v>83</v>
      </c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20" t="s">
        <v>65</v>
      </c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0"/>
      <c r="V21" s="10"/>
      <c r="W21" s="10"/>
      <c r="X21" s="10"/>
      <c r="Y21" s="82"/>
      <c r="Z21" s="73"/>
      <c r="AE21" s="121" t="s">
        <v>83</v>
      </c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  <c r="AS21" s="122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20" t="s">
        <v>69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0"/>
      <c r="V37" s="10"/>
      <c r="W37" s="10"/>
      <c r="X37" s="82"/>
      <c r="Y37" s="82"/>
      <c r="Z37" s="83"/>
      <c r="AA37" s="34"/>
      <c r="AB37" s="34"/>
      <c r="AC37" s="34"/>
      <c r="AE37" s="118" t="s">
        <v>83</v>
      </c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19"/>
      <c r="AQ37" s="119"/>
      <c r="AR37" s="119"/>
      <c r="AS37" s="119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20" t="s">
        <v>76</v>
      </c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0"/>
      <c r="V54" s="10"/>
      <c r="W54" s="10"/>
      <c r="X54" s="82"/>
      <c r="Y54" s="82"/>
      <c r="Z54" s="83"/>
      <c r="AE54" s="118" t="s">
        <v>83</v>
      </c>
      <c r="AF54" s="119"/>
      <c r="AG54" s="119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20" t="s">
        <v>104</v>
      </c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0"/>
      <c r="V69" s="10"/>
      <c r="W69" s="10"/>
      <c r="X69" s="10"/>
      <c r="Y69" s="10"/>
      <c r="Z69" s="10"/>
      <c r="AA69" s="116"/>
      <c r="AB69" s="117"/>
      <c r="AC69" s="103"/>
      <c r="AE69" s="118" t="s">
        <v>83</v>
      </c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SUM(X77:AC77)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20" t="s">
        <v>109</v>
      </c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0"/>
      <c r="V87" s="10"/>
      <c r="W87" s="10"/>
      <c r="X87" s="10"/>
      <c r="Y87" s="10"/>
      <c r="Z87" s="10"/>
      <c r="AA87" s="116"/>
      <c r="AB87" s="117"/>
      <c r="AC87" s="103"/>
      <c r="AE87" s="118" t="s">
        <v>83</v>
      </c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SUM(X95:AC95)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20" t="s">
        <v>113</v>
      </c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0"/>
      <c r="V103" s="10"/>
      <c r="W103" s="10"/>
      <c r="X103" s="10"/>
      <c r="Y103" s="10"/>
      <c r="Z103" s="10"/>
      <c r="AA103" s="116"/>
      <c r="AB103" s="117"/>
      <c r="AC103" s="103"/>
      <c r="AE103" s="118" t="s">
        <v>83</v>
      </c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SUM(X111:AC111)</f>
        <v>33840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20" t="s">
        <v>123</v>
      </c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0"/>
      <c r="V120" s="10"/>
      <c r="W120" s="10"/>
      <c r="X120" s="10"/>
      <c r="Y120" s="10"/>
      <c r="Z120" s="10"/>
      <c r="AA120" s="116"/>
      <c r="AB120" s="117"/>
      <c r="AC120" s="103"/>
      <c r="AE120" s="118" t="s">
        <v>83</v>
      </c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33"/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34"/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20"/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SUM(X128:AC128)</f>
        <v>29540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20" t="s">
        <v>140</v>
      </c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0"/>
      <c r="V139" s="10"/>
      <c r="W139" s="10"/>
      <c r="X139" s="10"/>
      <c r="Y139" s="10"/>
      <c r="Z139" s="10"/>
      <c r="AA139" s="116"/>
      <c r="AB139" s="117"/>
      <c r="AC139" s="103"/>
      <c r="AE139" s="118" t="s">
        <v>83</v>
      </c>
      <c r="AF139" s="119"/>
      <c r="AG139" s="119"/>
      <c r="AH139" s="119"/>
      <c r="AI139" s="119"/>
      <c r="AJ139" s="119"/>
      <c r="AK139" s="119"/>
      <c r="AL139" s="119"/>
      <c r="AM139" s="119"/>
      <c r="AN139" s="119"/>
      <c r="AO139" s="119"/>
      <c r="AP139" s="119"/>
      <c r="AQ139" s="119"/>
      <c r="AR139" s="119"/>
      <c r="AS139" s="119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46218</v>
      </c>
      <c r="AB151" s="111">
        <v>46218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SUM(G147:V147)-AE151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SUM(G152:W152)</f>
        <v>2204899.98</v>
      </c>
      <c r="R153" s="63" t="s">
        <v>85</v>
      </c>
      <c r="S153" s="64">
        <f>SUM(X147:AC147)</f>
        <v>44800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20" t="s">
        <v>150</v>
      </c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0"/>
      <c r="V158" s="10"/>
      <c r="W158" s="10"/>
      <c r="X158" s="10"/>
      <c r="Y158" s="10"/>
      <c r="Z158" s="10"/>
      <c r="AA158" s="116"/>
      <c r="AB158" s="117"/>
      <c r="AC158" s="103"/>
      <c r="AE158" s="118" t="s">
        <v>83</v>
      </c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529.02</v>
      </c>
      <c r="M161" s="14">
        <v>491</v>
      </c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18786.140000000003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6476.4099999999962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171</v>
      </c>
      <c r="X169" s="113" t="s">
        <v>172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SUM(G166:V166)-AE170</f>
        <v>2276090.9309999999</v>
      </c>
      <c r="L172" s="67" t="s">
        <v>77</v>
      </c>
      <c r="M172" s="68">
        <f>(G172-J172)</f>
        <v>82364.26900000032</v>
      </c>
      <c r="O172" s="61" t="s">
        <v>95</v>
      </c>
      <c r="P172" s="62">
        <f>SUM(G171:W171)</f>
        <v>2593066</v>
      </c>
      <c r="Q172" s="20"/>
      <c r="R172" s="63" t="s">
        <v>85</v>
      </c>
      <c r="S172" s="64">
        <f>SUM(X166:AC166)</f>
        <v>47000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20" t="s">
        <v>161</v>
      </c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0"/>
      <c r="V174" s="10"/>
      <c r="W174" s="10"/>
      <c r="X174" s="10"/>
      <c r="Y174" s="10"/>
      <c r="Z174" s="10"/>
      <c r="AA174" s="116"/>
      <c r="AB174" s="117"/>
      <c r="AC174" s="103"/>
      <c r="AE174" s="118" t="s">
        <v>83</v>
      </c>
      <c r="AF174" s="119"/>
      <c r="AG174" s="119"/>
      <c r="AH174" s="119"/>
      <c r="AI174" s="119"/>
      <c r="AJ174" s="119"/>
      <c r="AK174" s="119"/>
      <c r="AL174" s="119"/>
      <c r="AM174" s="119"/>
      <c r="AN174" s="119"/>
      <c r="AO174" s="119"/>
      <c r="AP174" s="119"/>
      <c r="AQ174" s="119"/>
      <c r="AR174" s="119"/>
      <c r="AS174" s="119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/>
      <c r="F176" s="14" t="s">
        <v>27</v>
      </c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76"/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/>
      <c r="F177" s="14" t="s">
        <v>27</v>
      </c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/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/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/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/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/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>
        <v>6000</v>
      </c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/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>
        <v>6000</v>
      </c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/>
      <c r="F182" s="40" t="s">
        <v>33</v>
      </c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>
        <f>SUM(W176:W181)</f>
        <v>0</v>
      </c>
      <c r="X182" s="55">
        <f t="shared" ref="X182:AC182" si="93">SUM(X176:X181)</f>
        <v>3000</v>
      </c>
      <c r="Y182" s="55">
        <f t="shared" si="93"/>
        <v>0</v>
      </c>
      <c r="Z182" s="55">
        <f t="shared" si="93"/>
        <v>36000</v>
      </c>
      <c r="AA182" s="55">
        <f t="shared" si="93"/>
        <v>0</v>
      </c>
      <c r="AB182" s="55">
        <f t="shared" si="93"/>
        <v>1100</v>
      </c>
      <c r="AC182" s="55">
        <f t="shared" si="93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/>
      <c r="F183" s="44" t="s">
        <v>35</v>
      </c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/>
      <c r="F184" s="46" t="s">
        <v>87</v>
      </c>
      <c r="G184" s="54">
        <f t="shared" ref="G184" si="94">(G183-G182)</f>
        <v>0</v>
      </c>
      <c r="H184" s="54">
        <f>(H183-H182)</f>
        <v>0</v>
      </c>
      <c r="I184" s="54">
        <f t="shared" ref="I184:L184" si="95">(I183-I182)</f>
        <v>0</v>
      </c>
      <c r="J184" s="54">
        <f t="shared" si="95"/>
        <v>0</v>
      </c>
      <c r="K184" s="54">
        <f t="shared" si="95"/>
        <v>0</v>
      </c>
      <c r="L184" s="54">
        <f t="shared" si="95"/>
        <v>0</v>
      </c>
      <c r="M184" s="54"/>
      <c r="N184" s="54"/>
      <c r="O184" s="54">
        <f>(O183-O182)</f>
        <v>0</v>
      </c>
      <c r="P184" s="54">
        <f>(P183-P182)</f>
        <v>0</v>
      </c>
      <c r="Q184" s="54">
        <f t="shared" ref="Q184:R184" si="96">(Q183-Q182)</f>
        <v>0</v>
      </c>
      <c r="R184" s="54">
        <f t="shared" si="96"/>
        <v>0</v>
      </c>
      <c r="S184" s="54">
        <f>(S183-S182)</f>
        <v>0</v>
      </c>
      <c r="T184" s="54">
        <f t="shared" ref="T184:U184" si="97">(T183-T182)</f>
        <v>0</v>
      </c>
      <c r="U184" s="54">
        <f t="shared" si="97"/>
        <v>0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/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/>
      <c r="U185" s="32"/>
      <c r="V185" s="32"/>
      <c r="W185" s="32"/>
      <c r="X185" s="33"/>
      <c r="Y185" s="33"/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/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9">
        <v>46249</v>
      </c>
      <c r="W186" s="19">
        <v>46249</v>
      </c>
      <c r="X186" s="34"/>
      <c r="Y186" s="34"/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/>
      <c r="F187" s="49" t="s">
        <v>59</v>
      </c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20"/>
      <c r="Y187" s="20"/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/>
      <c r="F188" s="57" t="s">
        <v>84</v>
      </c>
      <c r="G188" s="58">
        <f>SUM(G183:V183)</f>
        <v>0</v>
      </c>
      <c r="I188" s="59" t="s">
        <v>33</v>
      </c>
      <c r="J188" s="60" t="b">
        <f>C177=SUM(G182:V182)-AE186</f>
        <v>0</v>
      </c>
      <c r="L188" s="67" t="s">
        <v>77</v>
      </c>
      <c r="M188" s="68">
        <f>(G188-J188)</f>
        <v>0</v>
      </c>
      <c r="O188" s="61" t="s">
        <v>95</v>
      </c>
      <c r="P188" s="62">
        <f>SUM(G187:W187)</f>
        <v>0</v>
      </c>
      <c r="Q188" s="20"/>
      <c r="R188" s="63" t="s">
        <v>85</v>
      </c>
      <c r="S188" s="64">
        <f>SUM(X182:AC182)</f>
        <v>45600</v>
      </c>
      <c r="T188" s="35"/>
      <c r="U188" s="20"/>
    </row>
    <row r="189" spans="1:45">
      <c r="A189" s="25">
        <v>14</v>
      </c>
      <c r="B189" s="26">
        <v>46203</v>
      </c>
      <c r="C189" s="27" t="s">
        <v>164</v>
      </c>
      <c r="D189" s="25"/>
    </row>
    <row r="190" spans="1:45">
      <c r="A190" s="25">
        <v>15</v>
      </c>
      <c r="B190" s="26">
        <v>46203</v>
      </c>
      <c r="C190" s="27"/>
      <c r="D190" s="25"/>
    </row>
    <row r="191" spans="1:45">
      <c r="A191" s="25">
        <v>16</v>
      </c>
      <c r="B191" s="26">
        <v>46203</v>
      </c>
      <c r="C191" s="27"/>
      <c r="D191" s="25"/>
    </row>
  </sheetData>
  <mergeCells count="73">
    <mergeCell ref="AE103:AS103"/>
    <mergeCell ref="AE120:AS120"/>
    <mergeCell ref="AE37:AS37"/>
    <mergeCell ref="AE54:AS54"/>
    <mergeCell ref="AE69:AS69"/>
    <mergeCell ref="AE87:AS87"/>
    <mergeCell ref="A103:D103"/>
    <mergeCell ref="E103:H103"/>
    <mergeCell ref="I103:L103"/>
    <mergeCell ref="M103:P103"/>
    <mergeCell ref="Q103:T103"/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A87:D87"/>
    <mergeCell ref="E87:H87"/>
    <mergeCell ref="I87:L87"/>
    <mergeCell ref="M87:P87"/>
    <mergeCell ref="Q87:T87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A139:AB139"/>
    <mergeCell ref="AE139:AS139"/>
    <mergeCell ref="A139:D139"/>
    <mergeCell ref="E139:H139"/>
    <mergeCell ref="I139:L139"/>
    <mergeCell ref="M139:P139"/>
    <mergeCell ref="Q139:T139"/>
    <mergeCell ref="E158:H158"/>
    <mergeCell ref="A158:D158"/>
    <mergeCell ref="AE158:AS158"/>
    <mergeCell ref="AA158:AB158"/>
    <mergeCell ref="Q158:T158"/>
    <mergeCell ref="M158:P158"/>
    <mergeCell ref="I158:L158"/>
    <mergeCell ref="AA174:AB174"/>
    <mergeCell ref="AE174:AS174"/>
    <mergeCell ref="A174:D174"/>
    <mergeCell ref="E174:H174"/>
    <mergeCell ref="I174:L174"/>
    <mergeCell ref="M174:P174"/>
    <mergeCell ref="Q174:T174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</cols>
  <sheetData>
    <row r="1" spans="1:2">
      <c r="A1" s="1" t="s">
        <v>79</v>
      </c>
      <c r="B1" s="1" t="s">
        <v>80</v>
      </c>
    </row>
    <row r="2" spans="1:2">
      <c r="A2" s="2">
        <v>45976</v>
      </c>
      <c r="B2" s="3">
        <v>2000</v>
      </c>
    </row>
    <row r="3" spans="1:2">
      <c r="A3" s="2">
        <v>46039</v>
      </c>
      <c r="B3" s="3">
        <v>2000</v>
      </c>
    </row>
    <row r="4" spans="1:2">
      <c r="A4" s="2">
        <v>46039</v>
      </c>
      <c r="B4" s="3">
        <v>2000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3:D17"/>
  <sheetViews>
    <sheetView workbookViewId="0">
      <selection activeCell="G13" sqref="G13"/>
    </sheetView>
  </sheetViews>
  <sheetFormatPr defaultRowHeight="14.4"/>
  <cols>
    <col min="3" max="3" width="23.33203125" bestFit="1" customWidth="1"/>
    <col min="4" max="4" width="7" bestFit="1" customWidth="1"/>
  </cols>
  <sheetData>
    <row r="3" spans="3:4">
      <c r="C3" t="s">
        <v>155</v>
      </c>
      <c r="D3">
        <v>45000</v>
      </c>
    </row>
    <row r="4" spans="3:4">
      <c r="C4" t="s">
        <v>166</v>
      </c>
      <c r="D4">
        <v>10800</v>
      </c>
    </row>
    <row r="5" spans="3:4">
      <c r="C5" t="s">
        <v>112</v>
      </c>
      <c r="D5">
        <v>12555</v>
      </c>
    </row>
    <row r="6" spans="3:4">
      <c r="C6" t="s">
        <v>143</v>
      </c>
      <c r="D6">
        <v>13500</v>
      </c>
    </row>
    <row r="7" spans="3:4">
      <c r="C7" t="s">
        <v>156</v>
      </c>
      <c r="D7">
        <v>48500</v>
      </c>
    </row>
    <row r="8" spans="3:4">
      <c r="C8" t="s">
        <v>149</v>
      </c>
      <c r="D8">
        <v>18000</v>
      </c>
    </row>
    <row r="9" spans="3:4">
      <c r="C9" t="s">
        <v>154</v>
      </c>
      <c r="D9">
        <v>50976</v>
      </c>
    </row>
    <row r="10" spans="3:4">
      <c r="C10" t="s">
        <v>165</v>
      </c>
      <c r="D10">
        <v>219100</v>
      </c>
    </row>
    <row r="11" spans="3:4">
      <c r="C11" t="s">
        <v>173</v>
      </c>
      <c r="D11">
        <v>18880</v>
      </c>
    </row>
    <row r="12" spans="3:4">
      <c r="C12" t="s">
        <v>168</v>
      </c>
      <c r="D12">
        <v>298970</v>
      </c>
    </row>
    <row r="13" spans="3:4">
      <c r="C13" t="s">
        <v>169</v>
      </c>
      <c r="D13">
        <v>169250</v>
      </c>
    </row>
    <row r="14" spans="3:4">
      <c r="C14" t="s">
        <v>170</v>
      </c>
      <c r="D14">
        <v>87108</v>
      </c>
    </row>
    <row r="15" spans="3:4">
      <c r="C15" t="s">
        <v>171</v>
      </c>
      <c r="D15">
        <v>70800</v>
      </c>
    </row>
    <row r="16" spans="3:4">
      <c r="C16" t="s">
        <v>172</v>
      </c>
      <c r="D16">
        <v>107500</v>
      </c>
    </row>
    <row r="17" spans="3:4">
      <c r="C17" t="s">
        <v>166</v>
      </c>
      <c r="D17">
        <v>5900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2026-07-26T13:51:55Z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