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OneDrive - Autodesk\Desktop\Temp\"/>
    </mc:Choice>
  </mc:AlternateContent>
  <xr:revisionPtr revIDLastSave="0" documentId="13_ncr:1_{F6EE4A0D-D2BF-46A8-B1C4-7054E2A74F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26" i="1" l="1"/>
  <c r="AR126" i="1"/>
  <c r="AQ126" i="1"/>
  <c r="AP126" i="1"/>
  <c r="AO126" i="1"/>
  <c r="AN126" i="1"/>
  <c r="AM126" i="1"/>
  <c r="AL126" i="1"/>
  <c r="AE126" i="1" s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E75" i="1" s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 s="1"/>
  <c r="AE27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G117" i="1"/>
  <c r="I111" i="1"/>
  <c r="P101" i="1"/>
  <c r="AC77" i="1"/>
  <c r="AC95" i="1"/>
  <c r="AC128" i="1"/>
  <c r="AC111" i="1"/>
  <c r="P134" i="1"/>
  <c r="G134" i="1"/>
  <c r="T130" i="1"/>
  <c r="S130" i="1"/>
  <c r="R130" i="1"/>
  <c r="Q130" i="1"/>
  <c r="G130" i="1"/>
  <c r="AB128" i="1"/>
  <c r="AA128" i="1"/>
  <c r="Z128" i="1"/>
  <c r="Y128" i="1"/>
  <c r="X128" i="1"/>
  <c r="V130" i="1"/>
  <c r="U130" i="1"/>
  <c r="P130" i="1"/>
  <c r="O130" i="1"/>
  <c r="K130" i="1"/>
  <c r="J130" i="1"/>
  <c r="I130" i="1"/>
  <c r="H130" i="1"/>
  <c r="L130" i="1"/>
  <c r="L105" i="1"/>
  <c r="L111" i="1" s="1"/>
  <c r="W111" i="1"/>
  <c r="H111" i="1"/>
  <c r="J111" i="1"/>
  <c r="K111" i="1"/>
  <c r="O111" i="1"/>
  <c r="P111" i="1"/>
  <c r="Q111" i="1"/>
  <c r="R111" i="1"/>
  <c r="S111" i="1"/>
  <c r="T111" i="1"/>
  <c r="U111" i="1"/>
  <c r="V111" i="1"/>
  <c r="G111" i="1"/>
  <c r="G95" i="1"/>
  <c r="G101" i="1"/>
  <c r="L90" i="1"/>
  <c r="G83" i="1"/>
  <c r="G68" i="1"/>
  <c r="AE109" i="1" l="1"/>
  <c r="AE93" i="1"/>
  <c r="AE60" i="1"/>
  <c r="J117" i="1"/>
  <c r="M117" i="1" s="1"/>
  <c r="J134" i="1"/>
  <c r="M134" i="1" s="1"/>
  <c r="S134" i="1"/>
  <c r="AB95" i="1" l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H97" i="1" l="1"/>
  <c r="J101" i="1"/>
  <c r="M101" i="1" s="1"/>
  <c r="J83" i="1"/>
  <c r="M83" i="1" s="1"/>
  <c r="S68" i="1"/>
  <c r="Q97" i="1"/>
  <c r="S117" i="1"/>
  <c r="S101" i="1"/>
  <c r="S83" i="1"/>
  <c r="L5" i="1" l="1"/>
  <c r="L4" i="1"/>
  <c r="G51" i="1"/>
  <c r="P51" i="1"/>
  <c r="G35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G31" i="1" l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J35" i="1"/>
  <c r="M35" i="1" s="1"/>
  <c r="AR8" i="1"/>
  <c r="AL8" i="1"/>
  <c r="AS8" i="1"/>
  <c r="M15" i="1"/>
  <c r="AF8" i="1"/>
  <c r="AE8" i="1"/>
  <c r="J15" i="1"/>
  <c r="AG8" i="1"/>
  <c r="AO8" i="1"/>
  <c r="AM8" i="1"/>
  <c r="AJ8" i="1"/>
  <c r="AQ8" i="1"/>
  <c r="AN8" i="1"/>
  <c r="AI8" i="1"/>
  <c r="AH8" i="1"/>
  <c r="AP8" i="1"/>
  <c r="AK8" i="1"/>
</calcChain>
</file>

<file path=xl/sharedStrings.xml><?xml version="1.0" encoding="utf-8"?>
<sst xmlns="http://schemas.openxmlformats.org/spreadsheetml/2006/main" count="831" uniqueCount="132">
  <si>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</si>
  <si>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</si>
  <si>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</si>
  <si>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</si>
  <si>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</si>
  <si>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</si>
  <si>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</si>
  <si>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</si>
  <si>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</si>
  <si>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</si>
  <si>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</si>
  <si>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</si>
  <si>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</si>
  <si>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</si>
  <si>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</si>
  <si>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</si>
  <si>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</si>
  <si>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</si>
  <si>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</si>
  <si>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</si>
  <si>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</si>
  <si>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</si>
  <si>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</si>
  <si>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</si>
  <si>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</si>
  <si>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</si>
  <si>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</si>
  <si>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</si>
  <si>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</si>
  <si>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</si>
  <si>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</si>
  <si>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</si>
  <si>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</si>
  <si>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</si>
  <si>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</si>
  <si>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</si>
  <si>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</si>
  <si>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</si>
  <si>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</si>
  <si>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</si>
  <si>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</si>
  <si>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</si>
  <si>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</si>
  <si>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</si>
  <si>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</si>
  <si>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</si>
  <si>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</si>
  <si>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</si>
  <si>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</si>
  <si>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</si>
  <si>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</si>
  <si>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</si>
  <si>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</si>
  <si>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</si>
  <si>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</si>
  <si>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</si>
  <si>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</si>
  <si>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</si>
  <si>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</si>
  <si>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</si>
  <si>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</si>
  <si>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</si>
  <si>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</si>
  <si>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</si>
  <si>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</si>
  <si>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</si>
  <si>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</si>
  <si>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</si>
  <si>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</si>
  <si>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</si>
  <si>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</si>
  <si>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</si>
  <si>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</si>
  <si>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</si>
  <si>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</si>
  <si>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</si>
  <si>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</si>
  <si>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</si>
  <si>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</si>
  <si>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</si>
  <si>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</si>
  <si>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</si>
  <si>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</si>
  <si>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</si>
  <si>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</si>
  <si>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</si>
  <si>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</si>
  <si>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</si>
  <si>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</si>
  <si>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</si>
  <si>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</si>
  <si>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</si>
  <si>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</si>
  <si>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</si>
  <si>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</si>
  <si>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</si>
  <si>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</si>
  <si>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</si>
  <si>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</si>
  <si>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</si>
  <si>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</si>
  <si>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</si>
  <si>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</si>
  <si>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</si>
  <si>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</si>
  <si>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</si>
  <si>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</si>
  <si>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</si>
  <si>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</si>
  <si>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</si>
  <si>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</si>
  <si>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</si>
  <si>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</si>
  <si>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</si>
  <si>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</si>
  <si>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</si>
  <si>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</si>
  <si>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</si>
  <si>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</si>
  <si>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ClubHouse Booking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</si>
  <si>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</si>
  <si>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</si>
  <si>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</si>
  <si>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</si>
  <si>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</si>
  <si>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</si>
  <si>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</si>
  <si>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</si>
  <si>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7117+11386</t>
  </si>
  <si>
    <t>Quinteze  management fee</t>
  </si>
  <si>
    <t>STP Electricity Bill Apr 2026</t>
  </si>
  <si>
    <t>Comman Electrcity 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</si>
</sst>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3" fillId="3" borderId="1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2" borderId="0" xfId="0" applyFill="1"/>
    <xf numFmtId="0" fontId="3" fillId="6" borderId="3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3" fillId="3" borderId="5" xfId="0" applyNumberFormat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3" fillId="15" borderId="7" xfId="0" applyNumberFormat="1" applyFont="1" applyFill="1" applyBorder="1" applyAlignment="1">
      <alignment horizontal="center" vertical="center"/>
    </xf>
    <xf numFmtId="44" fontId="3" fillId="15" borderId="2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44" fontId="3" fillId="14" borderId="5" xfId="0" applyNumberFormat="1" applyFont="1" applyFill="1" applyBorder="1" applyAlignment="1">
      <alignment horizontal="center" vertical="center" wrapText="1"/>
    </xf>
    <xf numFmtId="0" fontId="3" fillId="16" borderId="4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44" fontId="3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 wrapText="1"/>
    </xf>
    <xf numFmtId="44" fontId="3" fillId="19" borderId="5" xfId="0" applyNumberFormat="1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44" fontId="3" fillId="18" borderId="4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44" fontId="3" fillId="15" borderId="10" xfId="0" applyNumberFormat="1" applyFont="1" applyFill="1" applyBorder="1" applyAlignment="1">
      <alignment horizontal="center" vertical="center"/>
    </xf>
    <xf numFmtId="44" fontId="3" fillId="14" borderId="9" xfId="0" applyNumberFormat="1" applyFont="1" applyFill="1" applyBorder="1" applyAlignment="1">
      <alignment horizontal="center" vertical="center" wrapText="1"/>
    </xf>
    <xf numFmtId="44" fontId="3" fillId="3" borderId="9" xfId="0" applyNumberFormat="1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 wrapText="1"/>
    </xf>
    <xf numFmtId="44" fontId="3" fillId="17" borderId="9" xfId="0" applyNumberFormat="1" applyFont="1" applyFill="1" applyBorder="1" applyAlignment="1">
      <alignment horizontal="center" vertical="center"/>
    </xf>
    <xf numFmtId="0" fontId="3" fillId="18" borderId="11" xfId="0" applyFont="1" applyFill="1" applyBorder="1" applyAlignment="1">
      <alignment horizontal="center" vertical="center" wrapText="1"/>
    </xf>
    <xf numFmtId="44" fontId="3" fillId="19" borderId="9" xfId="0" applyNumberFormat="1" applyFont="1" applyFill="1" applyBorder="1" applyAlignment="1">
      <alignment horizontal="center" vertical="center"/>
    </xf>
    <xf numFmtId="44" fontId="3" fillId="14" borderId="4" xfId="0" applyNumberFormat="1" applyFont="1" applyFill="1" applyBorder="1" applyAlignment="1">
      <alignment horizontal="center" vertical="center" wrapText="1"/>
    </xf>
    <xf numFmtId="44" fontId="3" fillId="3" borderId="13" xfId="0" applyNumberFormat="1" applyFont="1" applyFill="1" applyBorder="1" applyAlignment="1">
      <alignment horizontal="center" vertical="center"/>
    </xf>
    <xf numFmtId="44" fontId="3" fillId="12" borderId="14" xfId="0" applyNumberFormat="1" applyFont="1" applyFill="1" applyBorder="1" applyAlignment="1">
      <alignment horizontal="center" vertical="center" wrapText="1"/>
    </xf>
    <xf numFmtId="44" fontId="3" fillId="23" borderId="12" xfId="0" applyNumberFormat="1" applyFont="1" applyFill="1" applyBorder="1" applyAlignment="1">
      <alignment horizontal="center" vertical="center"/>
    </xf>
    <xf numFmtId="44" fontId="3" fillId="17" borderId="15" xfId="0" applyNumberFormat="1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 wrapText="1"/>
    </xf>
    <xf numFmtId="44" fontId="3" fillId="19" borderId="15" xfId="0" applyNumberFormat="1" applyFont="1" applyFill="1" applyBorder="1" applyAlignment="1">
      <alignment horizontal="center" vertical="center"/>
    </xf>
    <xf numFmtId="0" fontId="3" fillId="18" borderId="12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3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3" fillId="18" borderId="12" xfId="0" applyNumberFormat="1" applyFont="1" applyFill="1" applyBorder="1" applyAlignment="1">
      <alignment horizontal="center" vertical="center" wrapText="1"/>
    </xf>
    <xf numFmtId="0" fontId="3" fillId="18" borderId="21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44" fontId="3" fillId="19" borderId="4" xfId="0" applyNumberFormat="1" applyFont="1" applyFill="1" applyBorder="1" applyAlignment="1">
      <alignment horizontal="center" vertical="center"/>
    </xf>
    <xf numFmtId="44" fontId="3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3" fillId="18" borderId="23" xfId="0" applyNumberFormat="1" applyFont="1" applyFill="1" applyBorder="1" applyAlignment="1">
      <alignment horizontal="center" vertical="center" wrapText="1"/>
    </xf>
    <xf numFmtId="44" fontId="3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3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3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4" fontId="5" fillId="0" borderId="2" xfId="0" applyNumberFormat="1" applyFont="1" applyBorder="1" applyAlignment="1">
      <alignment horizontal="center" vertical="center"/>
    </xf>
    <xf numFmtId="0" fontId="5" fillId="23" borderId="4" xfId="0" applyFont="1" applyFill="1" applyBorder="1" applyAlignment="1">
      <alignment horizontal="center" vertical="center"/>
    </xf>
    <xf numFmtId="44" fontId="5" fillId="23" borderId="5" xfId="0" applyNumberFormat="1" applyFont="1" applyFill="1" applyBorder="1" applyAlignment="1">
      <alignment horizontal="center" vertical="center"/>
    </xf>
    <xf numFmtId="44" fontId="5" fillId="22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3" fillId="6" borderId="0" xfId="0" applyFont="1" applyFill="1" applyAlignment="1">
      <alignment horizontal="center"/>
    </xf>
    <xf numFmtId="0" fontId="0" fillId="0" borderId="1" xfId="0" applyBorder="1"/>
    <xf numFmtId="0" fontId="5" fillId="20" borderId="2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44" fontId="5" fillId="22" borderId="9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1" fillId="11" borderId="1" xfId="0" applyFont="1" applyFill="1" applyBorder="1" applyAlignment="1">
      <alignment horizontal="left"/>
    </xf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34"/>
  <sheetViews>
    <sheetView tabSelected="1" topLeftCell="P87" zoomScale="70" zoomScaleNormal="70" workbookViewId="0">
      <selection activeCell="X12" sqref="X12:Z14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6" t="s">
        <v>0</v>
      </c>
    </row>
    <row r="2" spans="1:45" ht="18.600000000000001" thickBot="1">
      <c r="A2" s="107" t="s">
        <v>1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7"/>
      <c r="V2" s="7"/>
      <c r="W2" s="7"/>
      <c r="X2" s="7"/>
      <c r="Y2" s="78"/>
      <c r="Z2" s="69"/>
      <c r="AE2" s="110" t="s">
        <v>80</v>
      </c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</row>
    <row r="3" spans="1:45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0" t="s">
        <v>24</v>
      </c>
      <c r="X3" s="48" t="s">
        <v>23</v>
      </c>
      <c r="Y3" s="86" t="s">
        <v>105</v>
      </c>
      <c r="Z3" s="68" t="s">
        <v>70</v>
      </c>
      <c r="AE3" s="100" t="s">
        <v>125</v>
      </c>
      <c r="AF3" s="91" t="s">
        <v>7</v>
      </c>
      <c r="AG3" s="91" t="s">
        <v>9</v>
      </c>
      <c r="AH3" s="91" t="s">
        <v>11</v>
      </c>
      <c r="AI3" s="91" t="s">
        <v>15</v>
      </c>
      <c r="AJ3" s="91" t="s">
        <v>17</v>
      </c>
      <c r="AK3" s="91" t="s">
        <v>19</v>
      </c>
      <c r="AL3" s="91" t="s">
        <v>20</v>
      </c>
      <c r="AM3" s="91" t="s">
        <v>21</v>
      </c>
      <c r="AN3" s="91" t="s">
        <v>22</v>
      </c>
      <c r="AO3" s="91" t="s">
        <v>8</v>
      </c>
      <c r="AP3" s="91" t="s">
        <v>10</v>
      </c>
      <c r="AQ3" s="91" t="s">
        <v>126</v>
      </c>
      <c r="AR3" s="91" t="s">
        <v>16</v>
      </c>
      <c r="AS3" s="91" t="s">
        <v>18</v>
      </c>
    </row>
    <row r="4" spans="1:45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1">
        <v>17000</v>
      </c>
      <c r="X4" s="74">
        <v>400</v>
      </c>
      <c r="Y4" s="87"/>
      <c r="Z4" s="75">
        <v>5000</v>
      </c>
      <c r="AD4" s="33" t="s">
        <v>78</v>
      </c>
      <c r="AE4" s="50" t="s">
        <v>88</v>
      </c>
      <c r="AF4" s="90"/>
      <c r="AG4" s="90"/>
      <c r="AH4" s="90"/>
      <c r="AI4" s="90"/>
      <c r="AJ4" s="98"/>
      <c r="AK4" s="98"/>
      <c r="AL4" s="98"/>
      <c r="AM4" s="98"/>
      <c r="AN4" s="98"/>
      <c r="AO4" s="98"/>
      <c r="AP4" s="98"/>
      <c r="AQ4" s="98"/>
      <c r="AR4" s="98"/>
      <c r="AS4" s="98"/>
    </row>
    <row r="5" spans="1:45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1">
        <v>79500</v>
      </c>
      <c r="X5" s="74"/>
      <c r="Y5" s="87"/>
      <c r="Z5" s="75">
        <v>2000</v>
      </c>
      <c r="AD5" s="34" t="s">
        <v>79</v>
      </c>
      <c r="AE5" s="50" t="s">
        <v>87</v>
      </c>
      <c r="AF5" s="90"/>
      <c r="AG5" s="90"/>
      <c r="AH5" s="90"/>
      <c r="AI5" s="90"/>
      <c r="AJ5" s="98"/>
      <c r="AK5" s="98"/>
      <c r="AL5" s="98"/>
      <c r="AM5" s="98"/>
      <c r="AN5" s="98"/>
      <c r="AO5" s="98"/>
      <c r="AP5" s="98"/>
      <c r="AQ5" s="98"/>
      <c r="AR5" s="98"/>
      <c r="AS5" s="98"/>
    </row>
    <row r="6" spans="1:45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1">
        <v>2500</v>
      </c>
      <c r="X6" s="74"/>
      <c r="Y6" s="87"/>
      <c r="Z6" s="75"/>
      <c r="AE6" s="50" t="s">
        <v>116</v>
      </c>
      <c r="AF6" s="90"/>
      <c r="AG6" s="90"/>
      <c r="AH6" s="90"/>
      <c r="AI6" s="90"/>
      <c r="AJ6" s="98"/>
      <c r="AK6" s="98"/>
      <c r="AL6" s="98"/>
      <c r="AM6" s="98"/>
      <c r="AN6" s="98"/>
      <c r="AO6" s="98"/>
      <c r="AP6" s="98"/>
      <c r="AQ6" s="98"/>
      <c r="AR6" s="98"/>
      <c r="AS6" s="98"/>
    </row>
    <row r="7" spans="1:45" ht="15" thickBot="1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2">
        <v>38380</v>
      </c>
      <c r="X7" s="74"/>
      <c r="Y7" s="87"/>
      <c r="Z7" s="75"/>
      <c r="AE7" s="99" t="s">
        <v>117</v>
      </c>
      <c r="AF7" s="92"/>
      <c r="AG7" s="92"/>
      <c r="AH7" s="92"/>
      <c r="AI7" s="92"/>
      <c r="AJ7" s="96"/>
      <c r="AK7" s="96"/>
      <c r="AL7" s="96"/>
      <c r="AM7" s="96"/>
      <c r="AN7" s="96"/>
      <c r="AO7" s="96"/>
      <c r="AP7" s="96"/>
      <c r="AQ7" s="96"/>
      <c r="AR7" s="96"/>
      <c r="AS7" s="96"/>
    </row>
    <row r="8" spans="1:45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2">
        <v>8650</v>
      </c>
      <c r="X8" s="74"/>
      <c r="Y8" s="87"/>
      <c r="Z8" s="75"/>
      <c r="AD8" s="93" t="s">
        <v>89</v>
      </c>
      <c r="AE8" s="94">
        <f ca="1">SUM(AF8:AS8)</f>
        <v>0</v>
      </c>
      <c r="AF8" s="95">
        <f ca="1">SUM(AF4:AF12)</f>
        <v>0</v>
      </c>
      <c r="AG8" s="95">
        <f ca="1">SUM(AG4:AG12)</f>
        <v>0</v>
      </c>
      <c r="AH8" s="95">
        <f ca="1">SUM(AH4:AH12)</f>
        <v>0</v>
      </c>
      <c r="AI8" s="95">
        <f ca="1">SUM(AI4:AI12)</f>
        <v>0</v>
      </c>
      <c r="AJ8" s="95">
        <f t="shared" ref="AJ8:AS8" ca="1" si="0">SUM(AJ4:AJ12)</f>
        <v>0</v>
      </c>
      <c r="AK8" s="95">
        <f t="shared" ca="1" si="0"/>
        <v>0</v>
      </c>
      <c r="AL8" s="95">
        <f t="shared" ca="1" si="0"/>
        <v>0</v>
      </c>
      <c r="AM8" s="95">
        <f t="shared" ca="1" si="0"/>
        <v>0</v>
      </c>
      <c r="AN8" s="95">
        <f t="shared" ca="1" si="0"/>
        <v>0</v>
      </c>
      <c r="AO8" s="95">
        <f t="shared" ca="1" si="0"/>
        <v>0</v>
      </c>
      <c r="AP8" s="95">
        <f t="shared" ca="1" si="0"/>
        <v>0</v>
      </c>
      <c r="AQ8" s="95">
        <f t="shared" ca="1" si="0"/>
        <v>0</v>
      </c>
      <c r="AR8" s="95">
        <f t="shared" ca="1" si="0"/>
        <v>0</v>
      </c>
      <c r="AS8" s="95">
        <f t="shared" ca="1" si="0"/>
        <v>0</v>
      </c>
    </row>
    <row r="9" spans="1:45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1">SUM(G4:G8)</f>
        <v>225728.6</v>
      </c>
      <c r="H9" s="3">
        <f>SUM(H4:H8)</f>
        <v>22993.29</v>
      </c>
      <c r="I9" s="3">
        <f t="shared" si="1"/>
        <v>250299</v>
      </c>
      <c r="J9" s="3">
        <f t="shared" si="1"/>
        <v>19737.23</v>
      </c>
      <c r="K9" s="3">
        <f t="shared" si="1"/>
        <v>206043.5</v>
      </c>
      <c r="L9" s="3">
        <f>SUM(L4:L8)</f>
        <v>4740.5200000000004</v>
      </c>
      <c r="M9" s="3"/>
      <c r="N9" s="3"/>
      <c r="O9" s="3">
        <f t="shared" si="1"/>
        <v>217328</v>
      </c>
      <c r="P9" s="3">
        <f t="shared" si="1"/>
        <v>20866</v>
      </c>
      <c r="Q9" s="3">
        <f t="shared" si="1"/>
        <v>309488</v>
      </c>
      <c r="R9" s="3">
        <f t="shared" si="1"/>
        <v>27338</v>
      </c>
      <c r="S9" s="3">
        <f t="shared" si="1"/>
        <v>215582.32</v>
      </c>
      <c r="T9" s="3">
        <f t="shared" si="1"/>
        <v>215582.32</v>
      </c>
      <c r="U9" s="3">
        <f t="shared" si="1"/>
        <v>239687.53</v>
      </c>
      <c r="V9" s="3">
        <f t="shared" si="1"/>
        <v>114127.28</v>
      </c>
      <c r="W9" s="73">
        <f>SUM(W4:W8)</f>
        <v>146030</v>
      </c>
      <c r="X9" s="52">
        <f>SUM(X4:X8)</f>
        <v>400</v>
      </c>
      <c r="Y9" s="88">
        <f>SUM(Y4:Y8)</f>
        <v>0</v>
      </c>
      <c r="Z9" s="76">
        <f>SUM(Z4:Z8)</f>
        <v>7000</v>
      </c>
    </row>
    <row r="10" spans="1:45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</row>
    <row r="11" spans="1:45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2">(I10-I9)</f>
        <v>-32971</v>
      </c>
      <c r="J11" s="51">
        <f t="shared" ref="J11" si="3">(J10-J9)</f>
        <v>1128.7700000000004</v>
      </c>
      <c r="K11" s="51">
        <f t="shared" ref="K11" si="4">(K10-K9)</f>
        <v>10717.5</v>
      </c>
      <c r="L11" s="51">
        <f t="shared" ref="L11" si="5">(L10-L9)</f>
        <v>16125.48</v>
      </c>
      <c r="M11" s="51"/>
      <c r="N11" s="51"/>
      <c r="O11" s="51">
        <f t="shared" ref="O11" si="6">(O10-O9)</f>
        <v>0</v>
      </c>
      <c r="P11" s="51">
        <f t="shared" ref="P11" si="7">(P10-P9)</f>
        <v>0</v>
      </c>
      <c r="Q11" s="51">
        <f t="shared" ref="Q11" si="8">(Q10-Q9)</f>
        <v>18962</v>
      </c>
      <c r="R11" s="51">
        <f t="shared" ref="R11" si="9">(R10-R9)</f>
        <v>0</v>
      </c>
      <c r="S11" s="51">
        <f t="shared" ref="S11" si="10">(S10-S9)</f>
        <v>13570.679999999993</v>
      </c>
      <c r="T11" s="51">
        <f t="shared" ref="T11" si="11">(T10-T9)</f>
        <v>13570.679999999993</v>
      </c>
      <c r="U11" s="51">
        <f t="shared" ref="U11" si="12">(U10-U9)</f>
        <v>-422.52999999999884</v>
      </c>
      <c r="V11" s="51">
        <f t="shared" ref="V11" si="13">(V10-V9)</f>
        <v>-5137.2799999999988</v>
      </c>
      <c r="W11" s="17"/>
      <c r="X11" s="17"/>
      <c r="Y11" s="17"/>
      <c r="Z11" s="17"/>
      <c r="AA11" s="17"/>
      <c r="AB11" s="17"/>
      <c r="AC11" s="17"/>
    </row>
    <row r="12" spans="1:45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</row>
    <row r="13" spans="1:45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</row>
    <row r="14" spans="1:45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46"/>
      <c r="Z14" s="46">
        <v>18000</v>
      </c>
    </row>
    <row r="15" spans="1:45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1" t="s">
        <v>33</v>
      </c>
      <c r="J15" s="62">
        <f ca="1">SUM(G9:V9)-AE8</f>
        <v>2089541.5900000003</v>
      </c>
      <c r="L15" s="63" t="s">
        <v>77</v>
      </c>
      <c r="M15" s="64">
        <f ca="1">(G15-J15)</f>
        <v>36353.409999999683</v>
      </c>
      <c r="O15" s="66" t="s">
        <v>90</v>
      </c>
      <c r="P15" s="65">
        <f>SUM(G14:Z14)</f>
        <v>2280628</v>
      </c>
      <c r="Q15" s="17"/>
      <c r="R15" s="68" t="s">
        <v>82</v>
      </c>
      <c r="S15" s="6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  <c r="AC15" s="17"/>
    </row>
    <row r="16" spans="1:45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45">
      <c r="A17" s="9">
        <v>14</v>
      </c>
      <c r="B17" s="9" t="s">
        <v>25</v>
      </c>
      <c r="C17" s="10" t="s">
        <v>93</v>
      </c>
      <c r="D17" s="9">
        <v>291521</v>
      </c>
    </row>
    <row r="18" spans="1:45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45">
      <c r="A19" s="9">
        <v>16</v>
      </c>
      <c r="B19" s="9" t="s">
        <v>25</v>
      </c>
      <c r="C19" s="10" t="s">
        <v>63</v>
      </c>
      <c r="D19" s="9">
        <v>15800</v>
      </c>
    </row>
    <row r="20" spans="1:45">
      <c r="A20" s="9">
        <v>17</v>
      </c>
      <c r="B20" s="9" t="s">
        <v>25</v>
      </c>
      <c r="C20" s="10" t="s">
        <v>64</v>
      </c>
      <c r="D20" s="9">
        <v>8709.99</v>
      </c>
    </row>
    <row r="21" spans="1:45" ht="18.600000000000001" thickBot="1">
      <c r="A21" s="107" t="s">
        <v>65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7"/>
      <c r="V21" s="7"/>
      <c r="W21" s="7"/>
      <c r="X21" s="7"/>
      <c r="Y21" s="78"/>
      <c r="Z21" s="69"/>
      <c r="AE21" s="110" t="s">
        <v>80</v>
      </c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</row>
    <row r="22" spans="1:45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0" t="s">
        <v>24</v>
      </c>
      <c r="X22" s="77" t="s">
        <v>23</v>
      </c>
      <c r="Y22" s="86" t="s">
        <v>105</v>
      </c>
      <c r="Z22" s="68" t="s">
        <v>70</v>
      </c>
      <c r="AE22" s="100" t="s">
        <v>125</v>
      </c>
      <c r="AF22" s="91" t="s">
        <v>7</v>
      </c>
      <c r="AG22" s="91" t="s">
        <v>9</v>
      </c>
      <c r="AH22" s="91" t="s">
        <v>11</v>
      </c>
      <c r="AI22" s="91" t="s">
        <v>15</v>
      </c>
      <c r="AJ22" s="91" t="s">
        <v>17</v>
      </c>
      <c r="AK22" s="91" t="s">
        <v>19</v>
      </c>
      <c r="AL22" s="91" t="s">
        <v>20</v>
      </c>
      <c r="AM22" s="91" t="s">
        <v>21</v>
      </c>
      <c r="AN22" s="91" t="s">
        <v>22</v>
      </c>
      <c r="AO22" s="91" t="s">
        <v>8</v>
      </c>
      <c r="AP22" s="91" t="s">
        <v>10</v>
      </c>
      <c r="AQ22" s="91" t="s">
        <v>126</v>
      </c>
      <c r="AR22" s="91" t="s">
        <v>16</v>
      </c>
      <c r="AS22" s="91" t="s">
        <v>18</v>
      </c>
    </row>
    <row r="23" spans="1:45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1">
        <v>31500</v>
      </c>
      <c r="X23" s="74">
        <v>800</v>
      </c>
      <c r="Y23" s="87"/>
      <c r="Z23" s="82"/>
      <c r="AD23" s="33" t="s">
        <v>78</v>
      </c>
      <c r="AE23" s="50" t="s">
        <v>88</v>
      </c>
      <c r="AF23" s="90"/>
      <c r="AG23" s="90"/>
      <c r="AH23" s="90"/>
      <c r="AI23" s="90"/>
      <c r="AJ23" s="98"/>
      <c r="AK23" s="98"/>
      <c r="AL23" s="98"/>
      <c r="AM23" s="98"/>
      <c r="AN23" s="98"/>
      <c r="AO23" s="98"/>
      <c r="AP23" s="98"/>
      <c r="AQ23" s="98"/>
      <c r="AR23" s="98"/>
      <c r="AS23" s="98"/>
    </row>
    <row r="24" spans="1:45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1">
        <v>97500</v>
      </c>
      <c r="X24" s="74">
        <v>500</v>
      </c>
      <c r="Y24" s="87"/>
      <c r="Z24" s="82"/>
      <c r="AD24" s="34" t="s">
        <v>79</v>
      </c>
      <c r="AE24" s="50" t="s">
        <v>87</v>
      </c>
      <c r="AF24" s="90"/>
      <c r="AG24" s="90"/>
      <c r="AH24" s="90">
        <v>2000</v>
      </c>
      <c r="AI24" s="90"/>
      <c r="AJ24" s="98"/>
      <c r="AK24" s="98"/>
      <c r="AL24" s="98"/>
      <c r="AM24" s="98"/>
      <c r="AN24" s="98"/>
      <c r="AO24" s="98"/>
      <c r="AP24" s="98"/>
      <c r="AQ24" s="98"/>
      <c r="AR24" s="98"/>
      <c r="AS24" s="98"/>
    </row>
    <row r="25" spans="1:45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1">
        <v>14000</v>
      </c>
      <c r="X25" s="74"/>
      <c r="Y25" s="87"/>
      <c r="Z25" s="82"/>
      <c r="AE25" s="50" t="s">
        <v>116</v>
      </c>
      <c r="AF25" s="90"/>
      <c r="AG25" s="90"/>
      <c r="AH25" s="90"/>
      <c r="AI25" s="90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5" ht="15" thickBot="1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1">
        <v>1000</v>
      </c>
      <c r="X26" s="74"/>
      <c r="Y26" s="87"/>
      <c r="Z26" s="82"/>
      <c r="AE26" s="99" t="s">
        <v>117</v>
      </c>
      <c r="AF26" s="92"/>
      <c r="AG26" s="92"/>
      <c r="AH26" s="92"/>
      <c r="AI26" s="92"/>
      <c r="AJ26" s="96"/>
      <c r="AK26" s="96"/>
      <c r="AL26" s="96"/>
      <c r="AM26" s="96"/>
      <c r="AN26" s="96"/>
      <c r="AO26" s="96"/>
      <c r="AP26" s="96"/>
      <c r="AQ26" s="96"/>
      <c r="AR26" s="96"/>
      <c r="AS26" s="96"/>
    </row>
    <row r="27" spans="1:45" ht="15" thickBot="1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1">
        <v>3760</v>
      </c>
      <c r="X27" s="74"/>
      <c r="Y27" s="87"/>
      <c r="Z27" s="82"/>
      <c r="AD27" s="93" t="s">
        <v>89</v>
      </c>
      <c r="AE27" s="94">
        <f>SUM(AF27:AS27)</f>
        <v>2000</v>
      </c>
      <c r="AF27" s="95">
        <f t="shared" ref="AF27:AG27" si="14">SUM(AF23:AF26)</f>
        <v>0</v>
      </c>
      <c r="AG27" s="95">
        <f t="shared" si="14"/>
        <v>0</v>
      </c>
      <c r="AH27" s="95">
        <f>SUM(AH23:AH26)</f>
        <v>2000</v>
      </c>
      <c r="AI27" s="95">
        <f t="shared" ref="AI27:AS27" si="15">SUM(AI23:AI26)</f>
        <v>0</v>
      </c>
      <c r="AJ27" s="95">
        <f t="shared" si="15"/>
        <v>0</v>
      </c>
      <c r="AK27" s="95">
        <f t="shared" si="15"/>
        <v>0</v>
      </c>
      <c r="AL27" s="95">
        <f t="shared" si="15"/>
        <v>0</v>
      </c>
      <c r="AM27" s="95">
        <f t="shared" si="15"/>
        <v>0</v>
      </c>
      <c r="AN27" s="95">
        <f t="shared" si="15"/>
        <v>0</v>
      </c>
      <c r="AO27" s="95">
        <f t="shared" si="15"/>
        <v>0</v>
      </c>
      <c r="AP27" s="95">
        <f t="shared" si="15"/>
        <v>0</v>
      </c>
      <c r="AQ27" s="95">
        <f t="shared" si="15"/>
        <v>0</v>
      </c>
      <c r="AR27" s="95">
        <f t="shared" si="15"/>
        <v>0</v>
      </c>
      <c r="AS27" s="95">
        <f t="shared" si="15"/>
        <v>0</v>
      </c>
    </row>
    <row r="28" spans="1:45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2">
        <v>46380</v>
      </c>
      <c r="X28" s="74"/>
      <c r="Y28" s="87"/>
      <c r="Z28" s="82"/>
    </row>
    <row r="29" spans="1:45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6">SUM(G23:G27)</f>
        <v>210669.83000000002</v>
      </c>
      <c r="H29" s="3">
        <f>SUM(H23:H27)</f>
        <v>20273</v>
      </c>
      <c r="I29" s="3">
        <f t="shared" si="16"/>
        <v>216000</v>
      </c>
      <c r="J29" s="3">
        <f t="shared" si="16"/>
        <v>17377</v>
      </c>
      <c r="K29" s="3">
        <f t="shared" si="16"/>
        <v>207927</v>
      </c>
      <c r="L29" s="3">
        <f t="shared" si="16"/>
        <v>12650</v>
      </c>
      <c r="M29" s="3"/>
      <c r="N29" s="3"/>
      <c r="O29" s="3">
        <f t="shared" si="16"/>
        <v>199210</v>
      </c>
      <c r="P29" s="3">
        <f t="shared" si="16"/>
        <v>19880</v>
      </c>
      <c r="Q29" s="3">
        <f t="shared" si="16"/>
        <v>323251</v>
      </c>
      <c r="R29" s="3">
        <f t="shared" si="16"/>
        <v>26508</v>
      </c>
      <c r="S29" s="3">
        <f t="shared" si="16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3">
        <f>SUM(W23:W28)</f>
        <v>194140</v>
      </c>
      <c r="X29" s="83">
        <f>SUM(X23:X28)</f>
        <v>1300</v>
      </c>
      <c r="Y29" s="88">
        <f>SUM(Y23:Y28)</f>
        <v>0</v>
      </c>
      <c r="Z29" s="84">
        <f>SUM(Z23:Z28)</f>
        <v>0</v>
      </c>
    </row>
    <row r="30" spans="1:45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C30" s="17"/>
    </row>
    <row r="31" spans="1:45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7">(I30-I29)</f>
        <v>-15145</v>
      </c>
      <c r="J31" s="51">
        <f t="shared" ref="J31" si="18">(J30-J29)</f>
        <v>2503</v>
      </c>
      <c r="K31" s="51">
        <f t="shared" ref="K31" si="19">(K30-K29)</f>
        <v>-8717</v>
      </c>
      <c r="L31" s="51">
        <f>(L30-L29)</f>
        <v>7230</v>
      </c>
      <c r="M31" s="51"/>
      <c r="N31" s="51"/>
      <c r="O31" s="51">
        <f t="shared" ref="O31" si="20">(O30-O29)</f>
        <v>0</v>
      </c>
      <c r="P31" s="51">
        <f t="shared" ref="P31" si="21">(P30-P29)</f>
        <v>0</v>
      </c>
      <c r="Q31" s="51">
        <f t="shared" ref="Q31" si="22">(Q30-Q29)</f>
        <v>-18961</v>
      </c>
      <c r="R31" s="51">
        <f t="shared" ref="R31" si="23">(R30-R29)</f>
        <v>0</v>
      </c>
      <c r="S31" s="51">
        <f t="shared" ref="S31" si="24">(S30-S29)</f>
        <v>-13022.470000000001</v>
      </c>
      <c r="T31" s="51">
        <f t="shared" ref="T31" si="25">(T30-T29)</f>
        <v>-2086.6699999999837</v>
      </c>
      <c r="U31" s="51">
        <f t="shared" ref="U31" si="26">(U30-U29)</f>
        <v>423</v>
      </c>
      <c r="V31" s="51">
        <f t="shared" ref="V31" si="27">(V30-V29)</f>
        <v>5138</v>
      </c>
      <c r="W31" s="28"/>
      <c r="X31" s="28"/>
      <c r="Y31" s="28"/>
      <c r="Z31" s="28"/>
      <c r="AA31" s="28"/>
      <c r="AB31" s="28"/>
      <c r="AC31" s="28"/>
    </row>
    <row r="32" spans="1:45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C32" s="17"/>
    </row>
    <row r="33" spans="1:46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  <c r="AC33" s="31"/>
    </row>
    <row r="34" spans="1:46" ht="15" thickBot="1">
      <c r="A34" s="18">
        <v>12</v>
      </c>
      <c r="B34" s="18" t="s">
        <v>66</v>
      </c>
      <c r="C34" s="19" t="s">
        <v>94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  <c r="AC34" s="17"/>
    </row>
    <row r="35" spans="1:46" ht="43.8" thickBot="1">
      <c r="A35" s="18">
        <v>13</v>
      </c>
      <c r="B35" s="18" t="s">
        <v>66</v>
      </c>
      <c r="C35" s="19" t="s">
        <v>95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>
        <f>SUM(G29:V29)-AE32</f>
        <v>2013285.97</v>
      </c>
      <c r="L35" s="63" t="s">
        <v>77</v>
      </c>
      <c r="M35" s="64">
        <f>(G35-J35)</f>
        <v>-39397.969999999972</v>
      </c>
      <c r="O35" s="40" t="s">
        <v>91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46">
      <c r="A36" s="18">
        <v>14</v>
      </c>
      <c r="B36" s="18" t="s">
        <v>66</v>
      </c>
      <c r="C36" s="19" t="s">
        <v>68</v>
      </c>
      <c r="D36" s="18">
        <v>45175</v>
      </c>
    </row>
    <row r="37" spans="1:46" ht="18.600000000000001" thickBot="1">
      <c r="A37" s="107" t="s">
        <v>69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7"/>
      <c r="V37" s="7"/>
      <c r="W37" s="7"/>
      <c r="X37" s="78"/>
      <c r="Y37" s="78"/>
      <c r="Z37" s="79"/>
      <c r="AA37" s="31"/>
      <c r="AB37" s="31"/>
      <c r="AC37" s="31"/>
      <c r="AE37" s="105" t="s">
        <v>80</v>
      </c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</row>
    <row r="38" spans="1:46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0" t="s">
        <v>24</v>
      </c>
      <c r="X38" s="48" t="s">
        <v>23</v>
      </c>
      <c r="Y38" s="86" t="s">
        <v>105</v>
      </c>
      <c r="Z38" s="68" t="s">
        <v>70</v>
      </c>
      <c r="AA38" s="31"/>
      <c r="AB38" s="31"/>
      <c r="AC38" s="31"/>
      <c r="AE38" s="100" t="s">
        <v>125</v>
      </c>
      <c r="AF38" s="91" t="s">
        <v>7</v>
      </c>
      <c r="AG38" s="91" t="s">
        <v>9</v>
      </c>
      <c r="AH38" s="91" t="s">
        <v>11</v>
      </c>
      <c r="AI38" s="91" t="s">
        <v>15</v>
      </c>
      <c r="AJ38" s="91" t="s">
        <v>17</v>
      </c>
      <c r="AK38" s="91" t="s">
        <v>19</v>
      </c>
      <c r="AL38" s="91" t="s">
        <v>20</v>
      </c>
      <c r="AM38" s="91" t="s">
        <v>21</v>
      </c>
      <c r="AN38" s="91" t="s">
        <v>22</v>
      </c>
      <c r="AO38" s="91" t="s">
        <v>8</v>
      </c>
      <c r="AP38" s="91" t="s">
        <v>10</v>
      </c>
      <c r="AQ38" s="91" t="s">
        <v>126</v>
      </c>
      <c r="AR38" s="91" t="s">
        <v>16</v>
      </c>
      <c r="AS38" s="91" t="s">
        <v>18</v>
      </c>
    </row>
    <row r="39" spans="1:46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2">
        <v>35000</v>
      </c>
      <c r="X39" s="74"/>
      <c r="Y39" s="87">
        <v>9000</v>
      </c>
      <c r="Z39" s="75">
        <v>10000</v>
      </c>
      <c r="AA39" s="31"/>
      <c r="AB39" s="31"/>
      <c r="AC39" s="31"/>
      <c r="AD39" s="33" t="s">
        <v>78</v>
      </c>
      <c r="AE39" s="50" t="s">
        <v>88</v>
      </c>
      <c r="AF39" s="90"/>
      <c r="AG39" s="90"/>
      <c r="AH39" s="90"/>
      <c r="AI39" s="90"/>
      <c r="AJ39" s="98"/>
      <c r="AK39" s="98"/>
      <c r="AL39" s="98"/>
      <c r="AM39" s="98"/>
      <c r="AN39" s="98"/>
      <c r="AO39" s="98"/>
      <c r="AP39" s="98"/>
      <c r="AQ39" s="98"/>
      <c r="AR39" s="98"/>
      <c r="AS39" s="98"/>
      <c r="AT39" s="102" t="s">
        <v>118</v>
      </c>
    </row>
    <row r="40" spans="1:46" ht="15" thickBot="1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2">
        <v>800</v>
      </c>
      <c r="X40" s="74"/>
      <c r="Y40" s="87">
        <v>3000</v>
      </c>
      <c r="Z40" s="75"/>
      <c r="AA40" s="31"/>
      <c r="AB40" s="31"/>
      <c r="AC40" s="31"/>
      <c r="AD40" s="34" t="s">
        <v>79</v>
      </c>
      <c r="AE40" s="50" t="s">
        <v>87</v>
      </c>
      <c r="AF40" s="90"/>
      <c r="AG40" s="90"/>
      <c r="AH40" s="90">
        <v>5000</v>
      </c>
      <c r="AI40" s="90"/>
      <c r="AJ40" s="98"/>
      <c r="AK40" s="98"/>
      <c r="AL40" s="98"/>
      <c r="AM40" s="98"/>
      <c r="AN40" s="98"/>
      <c r="AO40" s="98"/>
      <c r="AP40" s="98"/>
      <c r="AQ40" s="98"/>
      <c r="AR40" s="98"/>
      <c r="AS40" s="98"/>
      <c r="AT40" s="101">
        <v>5527</v>
      </c>
    </row>
    <row r="41" spans="1:46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72">
        <v>1500</v>
      </c>
      <c r="X41" s="74"/>
      <c r="Y41" s="87"/>
      <c r="Z41" s="75"/>
      <c r="AA41" s="31"/>
      <c r="AB41" s="31"/>
      <c r="AC41" s="31"/>
      <c r="AE41" s="50" t="s">
        <v>116</v>
      </c>
      <c r="AF41" s="90"/>
      <c r="AG41" s="90"/>
      <c r="AH41" s="90"/>
      <c r="AI41" s="90"/>
      <c r="AJ41" s="98"/>
      <c r="AK41" s="98"/>
      <c r="AL41" s="98"/>
      <c r="AM41" s="98"/>
      <c r="AN41" s="98"/>
      <c r="AO41" s="98"/>
      <c r="AP41" s="98"/>
      <c r="AQ41" s="98"/>
      <c r="AR41" s="98"/>
      <c r="AS41" s="98"/>
    </row>
    <row r="42" spans="1:46" ht="15" thickBot="1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2">
        <v>1570</v>
      </c>
      <c r="X42" s="74"/>
      <c r="Y42" s="87"/>
      <c r="Z42" s="75"/>
      <c r="AA42" s="31"/>
      <c r="AB42" s="31"/>
      <c r="AC42" s="31"/>
      <c r="AE42" s="99" t="s">
        <v>117</v>
      </c>
      <c r="AF42" s="92"/>
      <c r="AG42" s="92"/>
      <c r="AH42" s="92"/>
      <c r="AI42" s="92"/>
      <c r="AJ42" s="96"/>
      <c r="AK42" s="96"/>
      <c r="AL42" s="96"/>
      <c r="AM42" s="96"/>
      <c r="AN42" s="96"/>
      <c r="AO42" s="96"/>
      <c r="AP42" s="96"/>
      <c r="AQ42" s="96"/>
      <c r="AR42" s="96"/>
      <c r="AS42" s="96"/>
    </row>
    <row r="43" spans="1:46" ht="15" thickBot="1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1">
        <v>25000</v>
      </c>
      <c r="X43" s="74"/>
      <c r="Y43" s="87"/>
      <c r="Z43" s="75"/>
      <c r="AA43" s="31"/>
      <c r="AB43" s="31"/>
      <c r="AC43" s="31"/>
      <c r="AD43" s="93" t="s">
        <v>89</v>
      </c>
      <c r="AE43" s="94">
        <f>SUM(AF43:AS43)</f>
        <v>5000</v>
      </c>
      <c r="AF43" s="95">
        <f t="shared" ref="AF43:AG43" si="28">SUM(AF39:AF42)</f>
        <v>0</v>
      </c>
      <c r="AG43" s="95">
        <f t="shared" si="28"/>
        <v>0</v>
      </c>
      <c r="AH43" s="95">
        <f>SUM(AH39:AH42)</f>
        <v>5000</v>
      </c>
      <c r="AI43" s="95">
        <f t="shared" ref="AI43:AS43" si="29">SUM(AI39:AI42)</f>
        <v>0</v>
      </c>
      <c r="AJ43" s="95">
        <f t="shared" si="29"/>
        <v>0</v>
      </c>
      <c r="AK43" s="95">
        <f t="shared" si="29"/>
        <v>0</v>
      </c>
      <c r="AL43" s="95">
        <f t="shared" si="29"/>
        <v>0</v>
      </c>
      <c r="AM43" s="95">
        <f t="shared" si="29"/>
        <v>0</v>
      </c>
      <c r="AN43" s="95">
        <f t="shared" si="29"/>
        <v>0</v>
      </c>
      <c r="AO43" s="95">
        <f t="shared" si="29"/>
        <v>0</v>
      </c>
      <c r="AP43" s="95">
        <f t="shared" si="29"/>
        <v>0</v>
      </c>
      <c r="AQ43" s="95">
        <f t="shared" si="29"/>
        <v>0</v>
      </c>
      <c r="AR43" s="95">
        <f t="shared" si="29"/>
        <v>0</v>
      </c>
      <c r="AS43" s="95">
        <f t="shared" si="29"/>
        <v>0</v>
      </c>
    </row>
    <row r="44" spans="1:46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1">
        <v>2810</v>
      </c>
      <c r="X44" s="74"/>
      <c r="Y44" s="87"/>
      <c r="Z44" s="75"/>
      <c r="AA44" s="31"/>
      <c r="AB44" s="31"/>
    </row>
    <row r="45" spans="1:46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30">SUM(G39:G43)</f>
        <v>205604.66999999998</v>
      </c>
      <c r="H45" s="3">
        <f t="shared" si="30"/>
        <v>19433</v>
      </c>
      <c r="I45" s="3">
        <f>SUM(I39:I43)</f>
        <v>196196.67</v>
      </c>
      <c r="J45" s="3">
        <f>SUM(J39:J44)</f>
        <v>16658</v>
      </c>
      <c r="K45" s="3">
        <f t="shared" si="30"/>
        <v>190914</v>
      </c>
      <c r="L45" s="3">
        <f t="shared" si="30"/>
        <v>2776</v>
      </c>
      <c r="M45" s="3"/>
      <c r="N45" s="3"/>
      <c r="O45" s="3">
        <f t="shared" si="30"/>
        <v>195000</v>
      </c>
      <c r="P45" s="3">
        <f t="shared" si="30"/>
        <v>16658</v>
      </c>
      <c r="Q45" s="3">
        <f t="shared" si="30"/>
        <v>288899</v>
      </c>
      <c r="R45" s="3">
        <f t="shared" si="30"/>
        <v>11152</v>
      </c>
      <c r="S45" s="3">
        <f t="shared" si="30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3">
        <f>SUM(W39:W44)</f>
        <v>66680</v>
      </c>
      <c r="X45" s="80">
        <f>SUM(X39:X43)</f>
        <v>0</v>
      </c>
      <c r="Y45" s="80">
        <f>SUM(Y39:Y43)</f>
        <v>12000</v>
      </c>
      <c r="Z45" s="81">
        <f>SUM(Z39:Z43)</f>
        <v>10000</v>
      </c>
      <c r="AA45" s="31"/>
      <c r="AB45" s="31"/>
    </row>
    <row r="46" spans="1:46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294426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</row>
    <row r="47" spans="1:46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31">(H46-H45)</f>
        <v>0</v>
      </c>
      <c r="I47" s="51">
        <f t="shared" si="31"/>
        <v>-0.12000000002444722</v>
      </c>
      <c r="J47" s="51">
        <f t="shared" si="31"/>
        <v>0</v>
      </c>
      <c r="K47" s="51">
        <f t="shared" si="31"/>
        <v>5000</v>
      </c>
      <c r="L47" s="51">
        <f t="shared" si="31"/>
        <v>13882</v>
      </c>
      <c r="M47" s="51"/>
      <c r="N47" s="51"/>
      <c r="O47" s="51">
        <f t="shared" si="31"/>
        <v>64</v>
      </c>
      <c r="P47" s="51">
        <f t="shared" si="31"/>
        <v>0</v>
      </c>
      <c r="Q47" s="51">
        <f t="shared" si="31"/>
        <v>5527</v>
      </c>
      <c r="R47" s="51">
        <f t="shared" si="31"/>
        <v>11057</v>
      </c>
      <c r="S47" s="51">
        <f t="shared" si="31"/>
        <v>0</v>
      </c>
      <c r="T47" s="51">
        <f t="shared" si="31"/>
        <v>0</v>
      </c>
      <c r="U47" s="51">
        <f t="shared" si="31"/>
        <v>0.89000000001396984</v>
      </c>
      <c r="V47" s="51">
        <f t="shared" si="31"/>
        <v>0.49000000000523869</v>
      </c>
      <c r="W47" s="28"/>
      <c r="X47" s="28"/>
      <c r="Y47" s="28"/>
      <c r="Z47" s="28"/>
      <c r="AA47" s="28"/>
      <c r="AB47" s="28"/>
    </row>
    <row r="48" spans="1:46" ht="28.8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</row>
    <row r="49" spans="1:46" ht="19.2" customHeigh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</row>
    <row r="50" spans="1:46" ht="15" thickBot="1">
      <c r="A50" s="20">
        <v>12</v>
      </c>
      <c r="B50" s="20" t="s">
        <v>71</v>
      </c>
      <c r="C50" s="21" t="s">
        <v>96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24877</v>
      </c>
      <c r="V50" s="46">
        <v>27096</v>
      </c>
      <c r="W50" s="17"/>
      <c r="X50" s="17"/>
      <c r="Y50" s="17"/>
      <c r="Z50" s="17"/>
      <c r="AA50" s="17"/>
      <c r="AB50" s="17"/>
      <c r="AC50" s="17"/>
    </row>
    <row r="51" spans="1:46" ht="43.8" thickBot="1">
      <c r="A51" s="20">
        <v>13</v>
      </c>
      <c r="B51" s="20" t="s">
        <v>71</v>
      </c>
      <c r="C51" s="21" t="s">
        <v>97</v>
      </c>
      <c r="D51" s="20">
        <v>291564</v>
      </c>
      <c r="F51" s="38" t="s">
        <v>81</v>
      </c>
      <c r="G51" s="35">
        <f>SUM(G46:V46)</f>
        <v>1881240.6199999999</v>
      </c>
      <c r="I51" s="39" t="s">
        <v>33</v>
      </c>
      <c r="J51" s="13">
        <f>SUM(G45:V45)-AE49</f>
        <v>1845708.9</v>
      </c>
      <c r="L51" s="63" t="s">
        <v>77</v>
      </c>
      <c r="M51" s="64">
        <f>(G51-J51)</f>
        <v>35531.719999999972</v>
      </c>
      <c r="O51" s="40" t="s">
        <v>83</v>
      </c>
      <c r="P51" s="44">
        <f>SUM(G50:V50)</f>
        <v>1842211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46">
      <c r="A52" s="20">
        <v>14</v>
      </c>
      <c r="B52" s="20" t="s">
        <v>71</v>
      </c>
      <c r="C52" s="21" t="s">
        <v>74</v>
      </c>
      <c r="D52" s="20">
        <v>29999.98</v>
      </c>
    </row>
    <row r="53" spans="1:46">
      <c r="A53" s="20">
        <v>15</v>
      </c>
      <c r="B53" s="20" t="s">
        <v>71</v>
      </c>
      <c r="C53" s="21" t="s">
        <v>75</v>
      </c>
      <c r="D53" s="20">
        <v>26500</v>
      </c>
    </row>
    <row r="54" spans="1:46" ht="18.600000000000001" thickBot="1">
      <c r="A54" s="107" t="s">
        <v>76</v>
      </c>
      <c r="B54" s="107"/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7"/>
      <c r="V54" s="7"/>
      <c r="W54" s="7"/>
      <c r="X54" s="78"/>
      <c r="Y54" s="78"/>
      <c r="Z54" s="79"/>
      <c r="AE54" s="105" t="s">
        <v>80</v>
      </c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</row>
    <row r="55" spans="1:46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0" t="s">
        <v>24</v>
      </c>
      <c r="X55" s="48" t="s">
        <v>23</v>
      </c>
      <c r="Y55" s="86" t="s">
        <v>105</v>
      </c>
      <c r="Z55" s="68" t="s">
        <v>70</v>
      </c>
      <c r="AE55" s="100" t="s">
        <v>125</v>
      </c>
      <c r="AF55" s="91" t="s">
        <v>7</v>
      </c>
      <c r="AG55" s="91" t="s">
        <v>9</v>
      </c>
      <c r="AH55" s="91" t="s">
        <v>11</v>
      </c>
      <c r="AI55" s="91" t="s">
        <v>15</v>
      </c>
      <c r="AJ55" s="91" t="s">
        <v>17</v>
      </c>
      <c r="AK55" s="91" t="s">
        <v>19</v>
      </c>
      <c r="AL55" s="91" t="s">
        <v>20</v>
      </c>
      <c r="AM55" s="91" t="s">
        <v>21</v>
      </c>
      <c r="AN55" s="91" t="s">
        <v>22</v>
      </c>
      <c r="AO55" s="91" t="s">
        <v>8</v>
      </c>
      <c r="AP55" s="91" t="s">
        <v>10</v>
      </c>
      <c r="AQ55" s="91" t="s">
        <v>126</v>
      </c>
      <c r="AR55" s="91" t="s">
        <v>16</v>
      </c>
      <c r="AS55" s="91" t="s">
        <v>18</v>
      </c>
    </row>
    <row r="56" spans="1:46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2">
        <v>40610</v>
      </c>
      <c r="X56" s="74"/>
      <c r="Y56" s="87">
        <v>2800</v>
      </c>
      <c r="Z56" s="75">
        <v>5600</v>
      </c>
      <c r="AD56" s="33" t="s">
        <v>78</v>
      </c>
      <c r="AE56" s="50" t="s">
        <v>88</v>
      </c>
      <c r="AF56" s="90"/>
      <c r="AG56" s="90">
        <v>3239</v>
      </c>
      <c r="AH56" s="90"/>
      <c r="AI56" s="90">
        <v>3645</v>
      </c>
      <c r="AJ56" s="90">
        <v>4075</v>
      </c>
      <c r="AK56" s="90"/>
      <c r="AL56" s="90"/>
      <c r="AM56" s="90">
        <v>1000</v>
      </c>
      <c r="AN56" s="90"/>
      <c r="AO56" s="90"/>
      <c r="AP56" s="90"/>
      <c r="AQ56" s="90"/>
      <c r="AR56" s="90"/>
      <c r="AS56" s="90"/>
      <c r="AT56" s="102" t="s">
        <v>127</v>
      </c>
    </row>
    <row r="57" spans="1:46" ht="15" thickBot="1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2">
        <v>5663</v>
      </c>
      <c r="X57" s="74"/>
      <c r="Y57" s="87"/>
      <c r="Z57" s="75"/>
      <c r="AD57" s="34" t="s">
        <v>79</v>
      </c>
      <c r="AE57" s="50" t="s">
        <v>87</v>
      </c>
      <c r="AF57" s="90"/>
      <c r="AG57" s="90"/>
      <c r="AH57" s="90"/>
      <c r="AI57" s="90"/>
      <c r="AJ57" s="90">
        <v>2000</v>
      </c>
      <c r="AK57" s="90"/>
      <c r="AL57" s="90"/>
      <c r="AM57" s="90"/>
      <c r="AN57" s="90"/>
      <c r="AO57" s="90"/>
      <c r="AP57" s="90"/>
      <c r="AQ57" s="90"/>
      <c r="AR57" s="90"/>
      <c r="AS57" s="90"/>
      <c r="AT57" s="101">
        <v>2500</v>
      </c>
    </row>
    <row r="58" spans="1:46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5"/>
      <c r="X58" s="74"/>
      <c r="Y58" s="87"/>
      <c r="Z58" s="75"/>
      <c r="AE58" s="50" t="s">
        <v>116</v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</row>
    <row r="59" spans="1:46" ht="15" thickBot="1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5"/>
      <c r="X59" s="74"/>
      <c r="Y59" s="87"/>
      <c r="Z59" s="75"/>
      <c r="AE59" s="99" t="s">
        <v>117</v>
      </c>
      <c r="AF59" s="92"/>
      <c r="AG59" s="92"/>
      <c r="AH59" s="92"/>
      <c r="AI59" s="92"/>
      <c r="AJ59" s="90"/>
      <c r="AK59" s="90"/>
      <c r="AL59" s="90"/>
      <c r="AM59" s="90"/>
      <c r="AN59" s="90"/>
      <c r="AO59" s="90"/>
      <c r="AP59" s="90"/>
      <c r="AQ59" s="90"/>
      <c r="AR59" s="90"/>
      <c r="AS59" s="90"/>
    </row>
    <row r="60" spans="1:46" ht="15" thickBot="1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5"/>
      <c r="X60" s="74"/>
      <c r="Y60" s="87"/>
      <c r="Z60" s="75"/>
      <c r="AD60" s="93" t="s">
        <v>89</v>
      </c>
      <c r="AE60" s="94">
        <f>SUM(AF60:AS60)</f>
        <v>13959</v>
      </c>
      <c r="AF60" s="95">
        <f t="shared" ref="AF60:AG60" si="32">SUM(AF56:AF59)</f>
        <v>0</v>
      </c>
      <c r="AG60" s="95">
        <f t="shared" si="32"/>
        <v>3239</v>
      </c>
      <c r="AH60" s="95">
        <f>SUM(AH56:AH59)</f>
        <v>0</v>
      </c>
      <c r="AI60" s="95">
        <f t="shared" ref="AI60:AS60" si="33">SUM(AI56:AI59)</f>
        <v>3645</v>
      </c>
      <c r="AJ60" s="95">
        <f t="shared" si="33"/>
        <v>6075</v>
      </c>
      <c r="AK60" s="95">
        <f t="shared" si="33"/>
        <v>0</v>
      </c>
      <c r="AL60" s="95">
        <f t="shared" si="33"/>
        <v>0</v>
      </c>
      <c r="AM60" s="95">
        <f t="shared" si="33"/>
        <v>1000</v>
      </c>
      <c r="AN60" s="95">
        <f t="shared" si="33"/>
        <v>0</v>
      </c>
      <c r="AO60" s="95">
        <f t="shared" si="33"/>
        <v>0</v>
      </c>
      <c r="AP60" s="95">
        <f t="shared" si="33"/>
        <v>0</v>
      </c>
      <c r="AQ60" s="95">
        <f t="shared" si="33"/>
        <v>0</v>
      </c>
      <c r="AR60" s="95">
        <f t="shared" si="33"/>
        <v>0</v>
      </c>
      <c r="AS60" s="95">
        <f t="shared" si="33"/>
        <v>0</v>
      </c>
    </row>
    <row r="61" spans="1:46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5"/>
      <c r="X61" s="74"/>
      <c r="Y61" s="87"/>
      <c r="Z61" s="75"/>
    </row>
    <row r="62" spans="1:46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4">SUM(H56:H61)</f>
        <v>23135.48</v>
      </c>
      <c r="I62" s="3">
        <f t="shared" si="34"/>
        <v>201756</v>
      </c>
      <c r="J62" s="3">
        <f t="shared" si="34"/>
        <v>19831.13</v>
      </c>
      <c r="K62" s="3">
        <f t="shared" si="34"/>
        <v>204995.79</v>
      </c>
      <c r="L62" s="3">
        <f>SUM(L56:L61)</f>
        <v>17808.68</v>
      </c>
      <c r="M62" s="3"/>
      <c r="N62" s="3"/>
      <c r="O62" s="3">
        <f t="shared" si="34"/>
        <v>189834</v>
      </c>
      <c r="P62" s="3">
        <f t="shared" si="34"/>
        <v>19592</v>
      </c>
      <c r="Q62" s="3">
        <f t="shared" si="34"/>
        <v>305506</v>
      </c>
      <c r="R62" s="3">
        <f t="shared" si="34"/>
        <v>23205</v>
      </c>
      <c r="S62" s="3">
        <f t="shared" si="34"/>
        <v>215971.83000000002</v>
      </c>
      <c r="T62" s="3">
        <f t="shared" si="34"/>
        <v>217167.29</v>
      </c>
      <c r="U62" s="3">
        <f t="shared" si="34"/>
        <v>226641.71</v>
      </c>
      <c r="V62" s="3">
        <f t="shared" si="34"/>
        <v>103244.22</v>
      </c>
      <c r="W62" s="73">
        <f>SUM(W56:W61)</f>
        <v>46273</v>
      </c>
      <c r="X62" s="52">
        <f>SUM(X56:X61)</f>
        <v>0</v>
      </c>
      <c r="Y62" s="52">
        <f>SUM(Y56:Y61)</f>
        <v>2800</v>
      </c>
      <c r="Z62" s="76">
        <f>SUM(Z56:Z61)</f>
        <v>5600</v>
      </c>
    </row>
    <row r="63" spans="1:46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C63" s="17"/>
    </row>
    <row r="64" spans="1:46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5">(H63-H62)</f>
        <v>-279.47999999999956</v>
      </c>
      <c r="I64" s="51">
        <f t="shared" ref="I64" si="36">(I63-I62)</f>
        <v>3239.7900000000081</v>
      </c>
      <c r="J64" s="51">
        <f t="shared" ref="J64" si="37">(J63-J62)</f>
        <v>-239.13000000000102</v>
      </c>
      <c r="K64" s="51">
        <f t="shared" ref="K64" si="38">(K63-K62)</f>
        <v>0</v>
      </c>
      <c r="L64" s="51">
        <f t="shared" ref="L64" si="39">(L63-L62)</f>
        <v>1783.3199999999997</v>
      </c>
      <c r="M64" s="51"/>
      <c r="N64" s="51"/>
      <c r="O64" s="51">
        <f t="shared" ref="O64" si="40">(O63-O62)</f>
        <v>3645.7900000000081</v>
      </c>
      <c r="P64" s="51">
        <f t="shared" ref="P64" si="41">(P63-P62)</f>
        <v>0</v>
      </c>
      <c r="Q64" s="51">
        <f t="shared" ref="Q64" si="42">(Q63-Q62)</f>
        <v>6074.5200000000186</v>
      </c>
      <c r="R64" s="51">
        <f>(R63-R62)</f>
        <v>2917</v>
      </c>
      <c r="S64" s="51">
        <f t="shared" ref="S64" si="43">(S63-S62)</f>
        <v>-2.9103830456733704E-11</v>
      </c>
      <c r="T64" s="51">
        <f t="shared" ref="T64" si="44">(T63-T62)</f>
        <v>-1195.460000000021</v>
      </c>
      <c r="U64" s="51">
        <f t="shared" ref="U64" si="45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C64" s="28"/>
    </row>
    <row r="65" spans="1:45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C65" s="30"/>
    </row>
    <row r="66" spans="1:45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C66" s="31"/>
    </row>
    <row r="67" spans="1:45" ht="15" thickBot="1">
      <c r="A67" s="22">
        <v>12</v>
      </c>
      <c r="B67" s="23">
        <v>46022</v>
      </c>
      <c r="C67" s="24" t="s">
        <v>98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  <c r="AC67" s="17"/>
    </row>
    <row r="68" spans="1:45" ht="43.8" thickBot="1">
      <c r="A68" s="22">
        <v>13</v>
      </c>
      <c r="B68" s="23">
        <v>46022</v>
      </c>
      <c r="C68" s="24" t="s">
        <v>99</v>
      </c>
      <c r="D68" s="22">
        <v>370690</v>
      </c>
      <c r="F68" s="53" t="s">
        <v>81</v>
      </c>
      <c r="G68" s="54">
        <f>SUM(G63:V63)</f>
        <v>1999330.1500000001</v>
      </c>
      <c r="I68" s="55" t="s">
        <v>33</v>
      </c>
      <c r="J68" s="56">
        <f>SUM(G62:V62)-AE66</f>
        <v>1982383.1300000001</v>
      </c>
      <c r="L68" s="63" t="s">
        <v>77</v>
      </c>
      <c r="M68" s="64">
        <f>(G68-J68)</f>
        <v>16947.020000000019</v>
      </c>
      <c r="O68" s="57" t="s">
        <v>92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45" ht="18.600000000000001" thickBot="1">
      <c r="A69" s="107" t="s">
        <v>101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7"/>
      <c r="V69" s="7"/>
      <c r="W69" s="7"/>
      <c r="X69" s="7"/>
      <c r="Y69" s="7"/>
      <c r="Z69" s="7"/>
      <c r="AA69" s="108"/>
      <c r="AB69" s="109"/>
      <c r="AC69" s="97"/>
      <c r="AE69" s="105" t="s">
        <v>80</v>
      </c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</row>
    <row r="70" spans="1:45" ht="29.4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0" t="s">
        <v>24</v>
      </c>
      <c r="X70" s="48" t="s">
        <v>23</v>
      </c>
      <c r="Y70" s="86" t="s">
        <v>105</v>
      </c>
      <c r="Z70" s="48" t="s">
        <v>70</v>
      </c>
      <c r="AA70" s="68" t="s">
        <v>104</v>
      </c>
      <c r="AB70" s="68" t="s">
        <v>113</v>
      </c>
      <c r="AC70" s="68" t="s">
        <v>119</v>
      </c>
      <c r="AE70" s="100" t="s">
        <v>125</v>
      </c>
      <c r="AF70" s="91" t="s">
        <v>7</v>
      </c>
      <c r="AG70" s="91" t="s">
        <v>9</v>
      </c>
      <c r="AH70" s="91" t="s">
        <v>11</v>
      </c>
      <c r="AI70" s="91" t="s">
        <v>15</v>
      </c>
      <c r="AJ70" s="91" t="s">
        <v>17</v>
      </c>
      <c r="AK70" s="91" t="s">
        <v>19</v>
      </c>
      <c r="AL70" s="91" t="s">
        <v>20</v>
      </c>
      <c r="AM70" s="91" t="s">
        <v>21</v>
      </c>
      <c r="AN70" s="91" t="s">
        <v>22</v>
      </c>
      <c r="AO70" s="91" t="s">
        <v>8</v>
      </c>
      <c r="AP70" s="91" t="s">
        <v>10</v>
      </c>
      <c r="AQ70" s="91" t="s">
        <v>126</v>
      </c>
      <c r="AR70" s="91" t="s">
        <v>16</v>
      </c>
      <c r="AS70" s="91" t="s">
        <v>18</v>
      </c>
    </row>
    <row r="71" spans="1:4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2">
        <v>24038</v>
      </c>
      <c r="X71" s="74">
        <v>3000</v>
      </c>
      <c r="Y71" s="74">
        <v>6400</v>
      </c>
      <c r="Z71" s="11">
        <v>5000</v>
      </c>
      <c r="AA71" s="75">
        <v>1947</v>
      </c>
      <c r="AB71" s="75"/>
      <c r="AC71" s="75"/>
      <c r="AD71" s="33" t="s">
        <v>78</v>
      </c>
      <c r="AE71" s="50" t="s">
        <v>88</v>
      </c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</row>
    <row r="72" spans="1:4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2">
        <v>20604</v>
      </c>
      <c r="X72" s="74">
        <v>500</v>
      </c>
      <c r="Y72" s="89"/>
      <c r="Z72" s="11"/>
      <c r="AA72" s="75"/>
      <c r="AB72" s="75"/>
      <c r="AC72" s="75"/>
      <c r="AD72" s="34" t="s">
        <v>79</v>
      </c>
      <c r="AE72" s="50" t="s">
        <v>87</v>
      </c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</row>
    <row r="73" spans="1:4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2">
        <v>3434</v>
      </c>
      <c r="X73" s="74">
        <v>7000</v>
      </c>
      <c r="Y73" s="89"/>
      <c r="Z73" s="11"/>
      <c r="AA73" s="75"/>
      <c r="AB73" s="75"/>
      <c r="AC73" s="75"/>
      <c r="AE73" s="50" t="s">
        <v>116</v>
      </c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</row>
    <row r="74" spans="1:45" ht="15" thickBot="1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5"/>
      <c r="X74" s="74"/>
      <c r="Y74" s="89"/>
      <c r="Z74" s="11"/>
      <c r="AA74" s="75"/>
      <c r="AB74" s="75"/>
      <c r="AC74" s="75"/>
      <c r="AE74" s="99" t="s">
        <v>117</v>
      </c>
      <c r="AF74" s="92"/>
      <c r="AG74" s="92"/>
      <c r="AH74" s="92"/>
      <c r="AI74" s="92"/>
      <c r="AJ74" s="90"/>
      <c r="AK74" s="90"/>
      <c r="AL74" s="90"/>
      <c r="AM74" s="90"/>
      <c r="AN74" s="90"/>
      <c r="AO74" s="90"/>
      <c r="AP74" s="90"/>
      <c r="AQ74" s="90"/>
      <c r="AR74" s="90"/>
      <c r="AS74" s="90"/>
    </row>
    <row r="75" spans="1:45" ht="15" thickBot="1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5"/>
      <c r="X75" s="74"/>
      <c r="Y75" s="89"/>
      <c r="Z75" s="11"/>
      <c r="AA75" s="75"/>
      <c r="AB75" s="75"/>
      <c r="AC75" s="75"/>
      <c r="AD75" s="93" t="s">
        <v>89</v>
      </c>
      <c r="AE75" s="94">
        <f>SUM(AF75:AS75)</f>
        <v>0</v>
      </c>
      <c r="AF75" s="95">
        <f t="shared" ref="AF75:AG75" si="46">SUM(AF71:AF74)</f>
        <v>0</v>
      </c>
      <c r="AG75" s="95">
        <f t="shared" si="46"/>
        <v>0</v>
      </c>
      <c r="AH75" s="95">
        <f>SUM(AH71:AH74)</f>
        <v>0</v>
      </c>
      <c r="AI75" s="95">
        <f t="shared" ref="AI75:AS75" si="47">SUM(AI71:AI74)</f>
        <v>0</v>
      </c>
      <c r="AJ75" s="95">
        <f t="shared" si="47"/>
        <v>0</v>
      </c>
      <c r="AK75" s="95">
        <f t="shared" si="47"/>
        <v>0</v>
      </c>
      <c r="AL75" s="95">
        <f t="shared" si="47"/>
        <v>0</v>
      </c>
      <c r="AM75" s="95">
        <f t="shared" si="47"/>
        <v>0</v>
      </c>
      <c r="AN75" s="95">
        <f t="shared" si="47"/>
        <v>0</v>
      </c>
      <c r="AO75" s="95">
        <f t="shared" si="47"/>
        <v>0</v>
      </c>
      <c r="AP75" s="95">
        <f t="shared" si="47"/>
        <v>0</v>
      </c>
      <c r="AQ75" s="95">
        <f t="shared" si="47"/>
        <v>0</v>
      </c>
      <c r="AR75" s="95">
        <f t="shared" si="47"/>
        <v>0</v>
      </c>
      <c r="AS75" s="95">
        <f t="shared" si="47"/>
        <v>0</v>
      </c>
    </row>
    <row r="76" spans="1:4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5"/>
      <c r="X76" s="74"/>
      <c r="Y76" s="89"/>
      <c r="Z76" s="11"/>
      <c r="AA76" s="75"/>
      <c r="AB76" s="75"/>
      <c r="AC76" s="75"/>
    </row>
    <row r="77" spans="1:4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8">SUM(H71:H76)</f>
        <v>24038</v>
      </c>
      <c r="I77" s="3">
        <f t="shared" si="48"/>
        <v>209316.24</v>
      </c>
      <c r="J77" s="3">
        <f t="shared" si="48"/>
        <v>20604</v>
      </c>
      <c r="K77" s="3">
        <f t="shared" si="48"/>
        <v>210321</v>
      </c>
      <c r="L77" s="3">
        <f>SUM(L71:L76)</f>
        <v>20604.330000000002</v>
      </c>
      <c r="M77" s="3"/>
      <c r="N77" s="3"/>
      <c r="O77" s="3">
        <f t="shared" ref="O77:V77" si="49">SUM(O71:O76)</f>
        <v>195217</v>
      </c>
      <c r="P77" s="3">
        <f t="shared" si="49"/>
        <v>20604</v>
      </c>
      <c r="Q77" s="3">
        <f t="shared" si="49"/>
        <v>319433</v>
      </c>
      <c r="R77" s="3">
        <f t="shared" si="49"/>
        <v>27473</v>
      </c>
      <c r="S77" s="3">
        <f t="shared" si="49"/>
        <v>220809.02</v>
      </c>
      <c r="T77" s="3">
        <f t="shared" si="49"/>
        <v>219713</v>
      </c>
      <c r="U77" s="3">
        <f t="shared" si="49"/>
        <v>233322.7</v>
      </c>
      <c r="V77" s="3">
        <f t="shared" si="49"/>
        <v>107364.09000000001</v>
      </c>
      <c r="W77" s="73">
        <f t="shared" ref="W77:AB77" si="50">SUM(W71:W76)</f>
        <v>48076</v>
      </c>
      <c r="X77" s="52">
        <f t="shared" si="50"/>
        <v>10500</v>
      </c>
      <c r="Y77" s="52">
        <f t="shared" si="50"/>
        <v>6400</v>
      </c>
      <c r="Z77" s="52">
        <f t="shared" si="50"/>
        <v>5000</v>
      </c>
      <c r="AA77" s="52">
        <f t="shared" si="50"/>
        <v>1947</v>
      </c>
      <c r="AB77" s="52">
        <f t="shared" si="50"/>
        <v>0</v>
      </c>
      <c r="AC77" s="52">
        <f>SUM(AC71:AC76)</f>
        <v>0</v>
      </c>
    </row>
    <row r="78" spans="1:4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C78" s="17"/>
    </row>
    <row r="79" spans="1:4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51">(G78-G77)</f>
        <v>0</v>
      </c>
      <c r="H79" s="51">
        <f t="shared" si="51"/>
        <v>0.7999999999992724</v>
      </c>
      <c r="I79" s="51">
        <f t="shared" si="51"/>
        <v>0.11000000001513399</v>
      </c>
      <c r="J79" s="51">
        <f t="shared" si="51"/>
        <v>0.40000000000145519</v>
      </c>
      <c r="K79" s="51">
        <f t="shared" si="51"/>
        <v>-0.64999999999417923</v>
      </c>
      <c r="L79" s="51">
        <f t="shared" si="51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52">(Q78-Q77)</f>
        <v>-3.0000000027939677E-2</v>
      </c>
      <c r="R79" s="51">
        <f t="shared" si="52"/>
        <v>0.18999999999869033</v>
      </c>
      <c r="S79" s="51">
        <f>(S78-S77)</f>
        <v>0</v>
      </c>
      <c r="T79" s="51">
        <f t="shared" si="52"/>
        <v>1.9999999989522621E-2</v>
      </c>
      <c r="U79" s="51">
        <f t="shared" si="52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C79" s="28"/>
    </row>
    <row r="80" spans="1:45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100</v>
      </c>
      <c r="V80" s="29" t="s">
        <v>109</v>
      </c>
      <c r="W80" s="30"/>
      <c r="X80" s="30"/>
      <c r="Y80" s="30"/>
      <c r="Z80" s="30"/>
      <c r="AA80" s="30"/>
      <c r="AB80" s="30"/>
      <c r="AC80" s="30"/>
    </row>
    <row r="81" spans="1:46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B81" s="31"/>
      <c r="AC81" s="31"/>
    </row>
    <row r="82" spans="1:46" ht="15" thickBot="1">
      <c r="A82" s="22">
        <v>12</v>
      </c>
      <c r="B82" s="23">
        <v>46053</v>
      </c>
      <c r="C82" s="24" t="s">
        <v>102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46">
        <v>12555</v>
      </c>
      <c r="W82" s="17"/>
      <c r="X82" s="17"/>
      <c r="Y82" s="17"/>
      <c r="Z82" s="17"/>
      <c r="AA82" s="17"/>
      <c r="AB82" s="17"/>
      <c r="AC82" s="17"/>
    </row>
    <row r="83" spans="1:46" ht="43.8" thickBot="1">
      <c r="A83" s="22">
        <v>13</v>
      </c>
      <c r="B83" s="23">
        <v>46053</v>
      </c>
      <c r="C83" s="24" t="s">
        <v>103</v>
      </c>
      <c r="D83" s="22">
        <v>326921</v>
      </c>
      <c r="F83" s="53" t="s">
        <v>81</v>
      </c>
      <c r="G83" s="54">
        <f>SUM(G78:V78)</f>
        <v>2049267.9100000001</v>
      </c>
      <c r="I83" s="55" t="s">
        <v>33</v>
      </c>
      <c r="J83" s="56">
        <f>SUM(G77:V77)-AE81</f>
        <v>2049267.69</v>
      </c>
      <c r="L83" s="63" t="s">
        <v>77</v>
      </c>
      <c r="M83" s="64">
        <f>(G83-J83)</f>
        <v>0.22000000020489097</v>
      </c>
      <c r="O83" s="57" t="s">
        <v>92</v>
      </c>
      <c r="P83" s="58">
        <f>SUM(G82:V82)</f>
        <v>2069121.9</v>
      </c>
      <c r="Q83" s="17"/>
      <c r="R83" s="59" t="s">
        <v>82</v>
      </c>
      <c r="S83" s="60">
        <f>SUM(X77:AA77)</f>
        <v>23847</v>
      </c>
      <c r="T83" s="32"/>
      <c r="U83" s="17"/>
      <c r="V83" s="17"/>
    </row>
    <row r="84" spans="1:46">
      <c r="A84" s="22">
        <v>14</v>
      </c>
      <c r="B84" s="23">
        <v>46053</v>
      </c>
      <c r="C84" s="24" t="s">
        <v>100</v>
      </c>
      <c r="D84" s="22">
        <v>31950</v>
      </c>
    </row>
    <row r="85" spans="1:46">
      <c r="A85" s="22">
        <v>15</v>
      </c>
      <c r="B85" s="23">
        <v>46053</v>
      </c>
      <c r="C85" s="24" t="s">
        <v>109</v>
      </c>
      <c r="D85" s="22">
        <v>12555</v>
      </c>
    </row>
    <row r="87" spans="1:46" ht="18.600000000000001" thickBot="1">
      <c r="A87" s="107" t="s">
        <v>106</v>
      </c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7"/>
      <c r="V87" s="7"/>
      <c r="W87" s="7"/>
      <c r="X87" s="7"/>
      <c r="Y87" s="7"/>
      <c r="Z87" s="7"/>
      <c r="AA87" s="108"/>
      <c r="AB87" s="109"/>
      <c r="AC87" s="97"/>
      <c r="AE87" s="105" t="s">
        <v>80</v>
      </c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</row>
    <row r="88" spans="1:46" ht="29.4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0" t="s">
        <v>24</v>
      </c>
      <c r="X88" s="48" t="s">
        <v>23</v>
      </c>
      <c r="Y88" s="86" t="s">
        <v>105</v>
      </c>
      <c r="Z88" s="48" t="s">
        <v>70</v>
      </c>
      <c r="AA88" s="68" t="s">
        <v>104</v>
      </c>
      <c r="AB88" s="68" t="s">
        <v>113</v>
      </c>
      <c r="AC88" s="68" t="s">
        <v>119</v>
      </c>
      <c r="AE88" s="100" t="s">
        <v>125</v>
      </c>
      <c r="AF88" s="91" t="s">
        <v>7</v>
      </c>
      <c r="AG88" s="91" t="s">
        <v>9</v>
      </c>
      <c r="AH88" s="91" t="s">
        <v>11</v>
      </c>
      <c r="AI88" s="91" t="s">
        <v>15</v>
      </c>
      <c r="AJ88" s="91" t="s">
        <v>17</v>
      </c>
      <c r="AK88" s="91" t="s">
        <v>19</v>
      </c>
      <c r="AL88" s="91" t="s">
        <v>20</v>
      </c>
      <c r="AM88" s="91" t="s">
        <v>21</v>
      </c>
      <c r="AN88" s="91" t="s">
        <v>22</v>
      </c>
      <c r="AO88" s="91" t="s">
        <v>8</v>
      </c>
      <c r="AP88" s="91" t="s">
        <v>10</v>
      </c>
      <c r="AQ88" s="91" t="s">
        <v>126</v>
      </c>
      <c r="AR88" s="91" t="s">
        <v>16</v>
      </c>
      <c r="AS88" s="91" t="s">
        <v>18</v>
      </c>
    </row>
    <row r="89" spans="1:46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>
        <v>192624</v>
      </c>
      <c r="L89" s="11">
        <f>SUM(M89:N89)</f>
        <v>9446</v>
      </c>
      <c r="M89" s="11">
        <v>6318</v>
      </c>
      <c r="N89" s="12">
        <v>3128</v>
      </c>
      <c r="O89" s="11">
        <v>145925.20000000001</v>
      </c>
      <c r="P89" s="11">
        <v>16780</v>
      </c>
      <c r="Q89" s="11">
        <v>248415</v>
      </c>
      <c r="R89" s="11">
        <v>10880</v>
      </c>
      <c r="S89" s="11">
        <v>176405</v>
      </c>
      <c r="T89" s="11">
        <v>174833</v>
      </c>
      <c r="U89" s="11">
        <v>5829.13</v>
      </c>
      <c r="V89" s="11">
        <v>86773.84</v>
      </c>
      <c r="W89" s="72">
        <v>41980</v>
      </c>
      <c r="X89" s="74">
        <v>3000</v>
      </c>
      <c r="Y89" s="74"/>
      <c r="Z89" s="11">
        <v>10000</v>
      </c>
      <c r="AA89" s="75">
        <v>2189</v>
      </c>
      <c r="AB89" s="75"/>
      <c r="AC89" s="75"/>
      <c r="AD89" s="33" t="s">
        <v>78</v>
      </c>
      <c r="AE89" s="50" t="s">
        <v>88</v>
      </c>
      <c r="AF89" s="90"/>
      <c r="AG89" s="90"/>
      <c r="AH89" s="90"/>
      <c r="AI89" s="90"/>
      <c r="AJ89" s="90">
        <v>3000</v>
      </c>
      <c r="AK89" s="90"/>
      <c r="AL89" s="90"/>
      <c r="AM89" s="90">
        <v>5000</v>
      </c>
      <c r="AN89" s="90"/>
      <c r="AO89" s="90"/>
      <c r="AP89" s="90"/>
      <c r="AQ89" s="90">
        <v>10132</v>
      </c>
      <c r="AR89" s="90"/>
      <c r="AS89" s="90">
        <v>8781.48</v>
      </c>
      <c r="AT89" s="103" t="s">
        <v>128</v>
      </c>
    </row>
    <row r="90" spans="1:46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>
        <v>31937</v>
      </c>
      <c r="H90" s="12">
        <v>2285</v>
      </c>
      <c r="I90" s="11">
        <v>37377.519999999997</v>
      </c>
      <c r="J90" s="12">
        <v>1959</v>
      </c>
      <c r="K90" s="11"/>
      <c r="L90" s="11">
        <f>SUM(M90:N90)</f>
        <v>327</v>
      </c>
      <c r="M90" s="11"/>
      <c r="N90" s="12">
        <v>327</v>
      </c>
      <c r="O90" s="11">
        <v>37377.51</v>
      </c>
      <c r="P90" s="11">
        <v>3124.86</v>
      </c>
      <c r="Q90" s="11">
        <v>49046</v>
      </c>
      <c r="R90" s="11">
        <v>6771</v>
      </c>
      <c r="S90" s="11">
        <v>34218</v>
      </c>
      <c r="T90" s="11">
        <v>34218</v>
      </c>
      <c r="U90" s="11">
        <v>159436.47</v>
      </c>
      <c r="V90" s="11">
        <v>8978</v>
      </c>
      <c r="W90" s="72">
        <v>4574</v>
      </c>
      <c r="X90" s="74">
        <v>500</v>
      </c>
      <c r="Y90" s="89"/>
      <c r="Z90" s="11">
        <v>10000</v>
      </c>
      <c r="AA90" s="75">
        <v>1450</v>
      </c>
      <c r="AB90" s="75"/>
      <c r="AC90" s="75"/>
      <c r="AD90" s="34" t="s">
        <v>79</v>
      </c>
      <c r="AE90" s="50" t="s">
        <v>87</v>
      </c>
      <c r="AF90" s="90">
        <v>13633.63</v>
      </c>
      <c r="AG90" s="90"/>
      <c r="AH90" s="90"/>
      <c r="AI90" s="90"/>
      <c r="AJ90" s="90">
        <v>1904</v>
      </c>
      <c r="AK90" s="90"/>
      <c r="AL90" s="90"/>
      <c r="AM90" s="90">
        <v>5000</v>
      </c>
      <c r="AN90" s="90"/>
      <c r="AO90" s="90"/>
      <c r="AP90" s="90"/>
      <c r="AQ90" s="90"/>
      <c r="AR90" s="90"/>
      <c r="AS90" s="90"/>
    </row>
    <row r="91" spans="1:46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>
        <v>34218</v>
      </c>
      <c r="V91" s="11">
        <v>5343.37</v>
      </c>
      <c r="W91" s="85"/>
      <c r="X91" s="74"/>
      <c r="Y91" s="89"/>
      <c r="Z91" s="11">
        <v>7000</v>
      </c>
      <c r="AA91" s="75">
        <v>1500</v>
      </c>
      <c r="AB91" s="75"/>
      <c r="AC91" s="75"/>
      <c r="AE91" s="50" t="s">
        <v>116</v>
      </c>
      <c r="AF91" s="90"/>
      <c r="AG91" s="90"/>
      <c r="AH91" s="90">
        <v>5000</v>
      </c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</row>
    <row r="92" spans="1:46" ht="15" thickBot="1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5"/>
      <c r="X92" s="74"/>
      <c r="Y92" s="89"/>
      <c r="Z92" s="11"/>
      <c r="AA92" s="75"/>
      <c r="AB92" s="75"/>
      <c r="AC92" s="75"/>
      <c r="AE92" s="99" t="s">
        <v>117</v>
      </c>
      <c r="AF92" s="92"/>
      <c r="AG92" s="92"/>
      <c r="AH92" s="92"/>
      <c r="AI92" s="92"/>
      <c r="AJ92" s="90"/>
      <c r="AK92" s="90"/>
      <c r="AL92" s="90"/>
      <c r="AM92" s="90">
        <v>12295.85</v>
      </c>
      <c r="AN92" s="90"/>
      <c r="AO92" s="90"/>
      <c r="AP92" s="90"/>
      <c r="AQ92" s="90"/>
      <c r="AR92" s="90"/>
      <c r="AS92" s="90"/>
    </row>
    <row r="93" spans="1:46" ht="15" thickBot="1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5"/>
      <c r="X93" s="74"/>
      <c r="Y93" s="89"/>
      <c r="Z93" s="11"/>
      <c r="AA93" s="75"/>
      <c r="AB93" s="75"/>
      <c r="AC93" s="75"/>
      <c r="AD93" s="93" t="s">
        <v>89</v>
      </c>
      <c r="AE93" s="94">
        <f>SUM(AF93:AS93)</f>
        <v>64746.959999999992</v>
      </c>
      <c r="AF93" s="95">
        <f t="shared" ref="AF93:AG93" si="53">SUM(AF89:AF92)</f>
        <v>13633.63</v>
      </c>
      <c r="AG93" s="95">
        <f t="shared" si="53"/>
        <v>0</v>
      </c>
      <c r="AH93" s="95">
        <f>SUM(AH89:AH92)</f>
        <v>5000</v>
      </c>
      <c r="AI93" s="95">
        <f t="shared" ref="AI93:AS93" si="54">SUM(AI89:AI92)</f>
        <v>0</v>
      </c>
      <c r="AJ93" s="95">
        <f t="shared" si="54"/>
        <v>4904</v>
      </c>
      <c r="AK93" s="95">
        <f t="shared" si="54"/>
        <v>0</v>
      </c>
      <c r="AL93" s="95">
        <f t="shared" si="54"/>
        <v>0</v>
      </c>
      <c r="AM93" s="95">
        <f t="shared" si="54"/>
        <v>22295.85</v>
      </c>
      <c r="AN93" s="95">
        <f t="shared" si="54"/>
        <v>0</v>
      </c>
      <c r="AO93" s="95">
        <f t="shared" si="54"/>
        <v>0</v>
      </c>
      <c r="AP93" s="95">
        <f t="shared" si="54"/>
        <v>0</v>
      </c>
      <c r="AQ93" s="95">
        <f t="shared" si="54"/>
        <v>10132</v>
      </c>
      <c r="AR93" s="95">
        <f t="shared" si="54"/>
        <v>0</v>
      </c>
      <c r="AS93" s="95">
        <f t="shared" si="54"/>
        <v>8781.48</v>
      </c>
    </row>
    <row r="94" spans="1:46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5"/>
      <c r="X94" s="74"/>
      <c r="Y94" s="89"/>
      <c r="Z94" s="11"/>
      <c r="AA94" s="75"/>
      <c r="AB94" s="75"/>
      <c r="AC94" s="75"/>
    </row>
    <row r="95" spans="1:46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197081.59</v>
      </c>
      <c r="H95" s="3">
        <f t="shared" ref="H95:W95" si="55">SUM(H89:H94)</f>
        <v>23188</v>
      </c>
      <c r="I95" s="3">
        <f t="shared" si="55"/>
        <v>199802.72</v>
      </c>
      <c r="J95" s="3">
        <f t="shared" si="55"/>
        <v>19905</v>
      </c>
      <c r="K95" s="3">
        <f t="shared" si="55"/>
        <v>192624</v>
      </c>
      <c r="L95" s="3">
        <f t="shared" si="55"/>
        <v>9773</v>
      </c>
      <c r="M95" s="3"/>
      <c r="N95" s="3"/>
      <c r="O95" s="3">
        <f t="shared" si="55"/>
        <v>183302.71000000002</v>
      </c>
      <c r="P95" s="3">
        <f t="shared" si="55"/>
        <v>19904.86</v>
      </c>
      <c r="Q95" s="3">
        <f t="shared" si="55"/>
        <v>297461</v>
      </c>
      <c r="R95" s="3">
        <f t="shared" si="55"/>
        <v>17651</v>
      </c>
      <c r="S95" s="3">
        <f t="shared" si="55"/>
        <v>210623</v>
      </c>
      <c r="T95" s="3">
        <f t="shared" si="55"/>
        <v>209051</v>
      </c>
      <c r="U95" s="3">
        <f t="shared" si="55"/>
        <v>199483.6</v>
      </c>
      <c r="V95" s="3">
        <f t="shared" si="55"/>
        <v>101095.20999999999</v>
      </c>
      <c r="W95" s="3">
        <f t="shared" si="55"/>
        <v>46554</v>
      </c>
      <c r="X95" s="52">
        <f t="shared" ref="X95:AC95" si="56">SUM(X89:X94)</f>
        <v>3500</v>
      </c>
      <c r="Y95" s="52">
        <f t="shared" si="56"/>
        <v>0</v>
      </c>
      <c r="Z95" s="52">
        <f t="shared" si="56"/>
        <v>27000</v>
      </c>
      <c r="AA95" s="52">
        <f t="shared" si="56"/>
        <v>5139</v>
      </c>
      <c r="AB95" s="52">
        <f t="shared" si="56"/>
        <v>0</v>
      </c>
      <c r="AC95" s="52">
        <f t="shared" si="56"/>
        <v>0</v>
      </c>
    </row>
    <row r="96" spans="1:46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210715.22</v>
      </c>
      <c r="H96" s="36">
        <v>23188.68</v>
      </c>
      <c r="I96" s="36">
        <v>199803</v>
      </c>
      <c r="J96" s="36">
        <v>19905</v>
      </c>
      <c r="K96" s="36">
        <v>197624</v>
      </c>
      <c r="L96" s="36">
        <v>19904.86</v>
      </c>
      <c r="M96" s="36"/>
      <c r="N96" s="36"/>
      <c r="O96" s="36">
        <v>183302.71</v>
      </c>
      <c r="P96" s="36">
        <v>19904.86</v>
      </c>
      <c r="Q96" s="36">
        <v>302364.96000000002</v>
      </c>
      <c r="R96" s="36">
        <v>26432.48</v>
      </c>
      <c r="S96" s="36">
        <v>210623.1</v>
      </c>
      <c r="T96" s="36">
        <v>209051</v>
      </c>
      <c r="U96" s="36">
        <v>221779.4</v>
      </c>
      <c r="V96" s="36">
        <v>101095.21</v>
      </c>
      <c r="W96" s="17"/>
      <c r="X96" s="17"/>
      <c r="Y96" s="17"/>
      <c r="Z96" s="17"/>
      <c r="AA96" s="17"/>
      <c r="AB96" s="17"/>
      <c r="AC96" s="17"/>
    </row>
    <row r="97" spans="1:45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K97" si="57">(G96-G95)</f>
        <v>13633.630000000005</v>
      </c>
      <c r="H97" s="51">
        <f t="shared" si="57"/>
        <v>0.68000000000029104</v>
      </c>
      <c r="I97" s="51">
        <f t="shared" si="57"/>
        <v>0.27999999999883585</v>
      </c>
      <c r="J97" s="51">
        <f t="shared" si="57"/>
        <v>0</v>
      </c>
      <c r="K97" s="51">
        <f t="shared" si="57"/>
        <v>5000</v>
      </c>
      <c r="L97" s="51">
        <f>(L96-L95)</f>
        <v>10131.86</v>
      </c>
      <c r="M97" s="51"/>
      <c r="N97" s="51"/>
      <c r="O97" s="51">
        <f>(O96-O95)</f>
        <v>-2.9103830456733704E-11</v>
      </c>
      <c r="P97" s="51">
        <f>(P96-P95)</f>
        <v>0</v>
      </c>
      <c r="Q97" s="51">
        <f t="shared" ref="Q97" si="58">(Q96-Q95)</f>
        <v>4903.960000000021</v>
      </c>
      <c r="R97" s="51">
        <f t="shared" ref="R97" si="59">(R96-R95)</f>
        <v>8781.48</v>
      </c>
      <c r="S97" s="51">
        <f>(S96-S95)</f>
        <v>0.10000000000582077</v>
      </c>
      <c r="T97" s="51">
        <f t="shared" ref="T97" si="60">(T96-T95)</f>
        <v>0</v>
      </c>
      <c r="U97" s="51">
        <f t="shared" ref="U97" si="61">(U96-U95)</f>
        <v>22295.799999999988</v>
      </c>
      <c r="V97" s="51">
        <f>(V96-V95)</f>
        <v>1.4551915228366852E-11</v>
      </c>
      <c r="W97" s="28"/>
      <c r="X97" s="28"/>
      <c r="Y97" s="28"/>
      <c r="Z97" s="28"/>
      <c r="AA97" s="28"/>
      <c r="AB97" s="28"/>
      <c r="AC97" s="28"/>
    </row>
    <row r="98" spans="1:45" ht="28.8">
      <c r="A98" s="22">
        <v>10</v>
      </c>
      <c r="B98" s="23">
        <v>46081</v>
      </c>
      <c r="C98" s="24" t="s">
        <v>114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114</v>
      </c>
      <c r="Q98" s="26" t="s">
        <v>48</v>
      </c>
      <c r="R98" s="26" t="s">
        <v>115</v>
      </c>
      <c r="S98" s="27" t="s">
        <v>50</v>
      </c>
      <c r="T98" s="29" t="s">
        <v>51</v>
      </c>
      <c r="U98" s="31"/>
      <c r="V98" s="30"/>
      <c r="W98" s="30"/>
      <c r="X98" s="30"/>
      <c r="Y98" s="30"/>
      <c r="Z98" s="30"/>
      <c r="AA98" s="30"/>
      <c r="AB98" s="30"/>
      <c r="AC98" s="30"/>
    </row>
    <row r="99" spans="1:45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31"/>
      <c r="V99" s="30"/>
      <c r="W99" s="31"/>
      <c r="X99" s="31"/>
      <c r="Y99" s="31"/>
      <c r="Z99" s="31"/>
      <c r="AA99" s="31"/>
      <c r="AB99" s="31"/>
      <c r="AC99" s="31"/>
    </row>
    <row r="100" spans="1:45" ht="15" thickBot="1">
      <c r="A100" s="22">
        <v>12</v>
      </c>
      <c r="B100" s="23">
        <v>46081</v>
      </c>
      <c r="C100" s="24" t="s">
        <v>115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>
        <v>19026</v>
      </c>
      <c r="S100" s="46">
        <v>299200</v>
      </c>
      <c r="T100" s="46">
        <v>59360</v>
      </c>
      <c r="U100" s="31"/>
      <c r="V100" s="30"/>
      <c r="W100" s="17"/>
      <c r="X100" s="17"/>
      <c r="Y100" s="17"/>
      <c r="Z100" s="17"/>
      <c r="AA100" s="17"/>
      <c r="AB100" s="17"/>
      <c r="AC100" s="17"/>
    </row>
    <row r="101" spans="1:45" ht="41.4" customHeight="1" thickBot="1">
      <c r="A101" s="22">
        <v>13</v>
      </c>
      <c r="B101" s="23">
        <v>46081</v>
      </c>
      <c r="C101" s="24" t="s">
        <v>108</v>
      </c>
      <c r="D101" s="22">
        <v>59360</v>
      </c>
      <c r="F101" s="53" t="s">
        <v>81</v>
      </c>
      <c r="G101" s="54">
        <f>SUM(G96:V96)</f>
        <v>1945694.48</v>
      </c>
      <c r="I101" s="55" t="s">
        <v>33</v>
      </c>
      <c r="J101" s="56">
        <f>SUM(G95:V95)</f>
        <v>1880946.69</v>
      </c>
      <c r="L101" s="63" t="s">
        <v>77</v>
      </c>
      <c r="M101" s="64">
        <f>(G101-J101)</f>
        <v>64747.790000000037</v>
      </c>
      <c r="O101" s="57" t="s">
        <v>92</v>
      </c>
      <c r="P101" s="58">
        <f>SUM(G100:U100)</f>
        <v>1945693.98</v>
      </c>
      <c r="Q101" s="17"/>
      <c r="R101" s="59" t="s">
        <v>82</v>
      </c>
      <c r="S101" s="60">
        <f>SUM(X95:AA95)</f>
        <v>35639</v>
      </c>
      <c r="T101" s="32"/>
      <c r="U101" s="17"/>
    </row>
    <row r="102" spans="1:45">
      <c r="A102" s="22">
        <v>14</v>
      </c>
      <c r="B102" s="23">
        <v>46081</v>
      </c>
      <c r="C102" s="24" t="s">
        <v>107</v>
      </c>
      <c r="D102" s="22">
        <v>299200</v>
      </c>
    </row>
    <row r="103" spans="1:45" ht="18.600000000000001" thickBot="1">
      <c r="A103" s="107" t="s">
        <v>110</v>
      </c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7"/>
      <c r="V103" s="7"/>
      <c r="W103" s="7"/>
      <c r="X103" s="7"/>
      <c r="Y103" s="7"/>
      <c r="Z103" s="7"/>
      <c r="AA103" s="108"/>
      <c r="AB103" s="109"/>
      <c r="AC103" s="97"/>
      <c r="AE103" s="105" t="s">
        <v>80</v>
      </c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</row>
    <row r="104" spans="1:45" ht="29.4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0" t="s">
        <v>24</v>
      </c>
      <c r="X104" s="48" t="s">
        <v>23</v>
      </c>
      <c r="Y104" s="86" t="s">
        <v>105</v>
      </c>
      <c r="Z104" s="48" t="s">
        <v>70</v>
      </c>
      <c r="AA104" s="68" t="s">
        <v>104</v>
      </c>
      <c r="AB104" s="68" t="s">
        <v>113</v>
      </c>
      <c r="AC104" s="68" t="s">
        <v>119</v>
      </c>
      <c r="AE104" s="100" t="s">
        <v>125</v>
      </c>
      <c r="AF104" s="91" t="s">
        <v>7</v>
      </c>
      <c r="AG104" s="91" t="s">
        <v>9</v>
      </c>
      <c r="AH104" s="91" t="s">
        <v>11</v>
      </c>
      <c r="AI104" s="91" t="s">
        <v>15</v>
      </c>
      <c r="AJ104" s="91" t="s">
        <v>17</v>
      </c>
      <c r="AK104" s="91" t="s">
        <v>19</v>
      </c>
      <c r="AL104" s="91" t="s">
        <v>20</v>
      </c>
      <c r="AM104" s="91" t="s">
        <v>21</v>
      </c>
      <c r="AN104" s="91" t="s">
        <v>22</v>
      </c>
      <c r="AO104" s="91" t="s">
        <v>8</v>
      </c>
      <c r="AP104" s="91" t="s">
        <v>10</v>
      </c>
      <c r="AQ104" s="91" t="s">
        <v>126</v>
      </c>
      <c r="AR104" s="91" t="s">
        <v>16</v>
      </c>
      <c r="AS104" s="91" t="s">
        <v>18</v>
      </c>
    </row>
    <row r="105" spans="1:45">
      <c r="A105" s="22">
        <v>1</v>
      </c>
      <c r="B105" s="23">
        <v>46112</v>
      </c>
      <c r="C105" s="24" t="s">
        <v>26</v>
      </c>
      <c r="D105" s="22">
        <v>148965</v>
      </c>
      <c r="F105" s="11" t="s">
        <v>27</v>
      </c>
      <c r="G105" s="11">
        <v>219073.14</v>
      </c>
      <c r="H105" s="12">
        <v>21891</v>
      </c>
      <c r="I105" s="11">
        <v>178250.21</v>
      </c>
      <c r="J105" s="12">
        <v>18764</v>
      </c>
      <c r="K105" s="11">
        <v>207035</v>
      </c>
      <c r="L105" s="11">
        <f>SUM(M105:N105)</f>
        <v>18763.86</v>
      </c>
      <c r="M105" s="11">
        <v>15636.86</v>
      </c>
      <c r="N105" s="12">
        <v>3127</v>
      </c>
      <c r="O105" s="11">
        <v>188261.21</v>
      </c>
      <c r="P105" s="11">
        <v>18763.86</v>
      </c>
      <c r="Q105" s="11">
        <v>307042</v>
      </c>
      <c r="R105" s="11">
        <v>25018.14</v>
      </c>
      <c r="S105" s="11">
        <v>216551.5</v>
      </c>
      <c r="T105" s="11">
        <v>218744</v>
      </c>
      <c r="U105" s="11">
        <v>231055</v>
      </c>
      <c r="V105" s="11">
        <v>106542.53</v>
      </c>
      <c r="W105" s="72">
        <v>21891</v>
      </c>
      <c r="X105" s="74">
        <v>3000</v>
      </c>
      <c r="Y105" s="74">
        <v>8000</v>
      </c>
      <c r="Z105" s="11">
        <v>3000</v>
      </c>
      <c r="AA105" s="75">
        <v>2100</v>
      </c>
      <c r="AB105" s="75">
        <v>600</v>
      </c>
      <c r="AC105" s="75">
        <v>1500</v>
      </c>
      <c r="AD105" s="33" t="s">
        <v>78</v>
      </c>
      <c r="AE105" s="50" t="s">
        <v>88</v>
      </c>
      <c r="AF105" s="90"/>
      <c r="AG105" s="90"/>
      <c r="AH105" s="90"/>
      <c r="AI105" s="90">
        <v>1000</v>
      </c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</row>
    <row r="106" spans="1:45">
      <c r="A106" s="22">
        <v>2</v>
      </c>
      <c r="B106" s="23">
        <v>46112</v>
      </c>
      <c r="C106" s="24" t="s">
        <v>28</v>
      </c>
      <c r="D106" s="22">
        <v>410452</v>
      </c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72">
        <v>18764</v>
      </c>
      <c r="X106" s="74">
        <v>500</v>
      </c>
      <c r="Y106" s="89"/>
      <c r="Z106" s="11">
        <v>6000</v>
      </c>
      <c r="AA106" s="75">
        <v>1440</v>
      </c>
      <c r="AB106" s="75">
        <v>500</v>
      </c>
      <c r="AC106" s="75"/>
      <c r="AD106" s="34" t="s">
        <v>79</v>
      </c>
      <c r="AE106" s="50" t="s">
        <v>87</v>
      </c>
      <c r="AF106" s="90"/>
      <c r="AG106" s="90"/>
      <c r="AH106" s="90"/>
      <c r="AI106" s="90"/>
      <c r="AJ106" s="90">
        <v>2233</v>
      </c>
      <c r="AK106" s="90"/>
      <c r="AL106" s="90"/>
      <c r="AM106" s="90"/>
      <c r="AN106" s="90"/>
      <c r="AO106" s="90"/>
      <c r="AP106" s="90"/>
      <c r="AQ106" s="90"/>
      <c r="AR106" s="90"/>
      <c r="AS106" s="90"/>
    </row>
    <row r="107" spans="1:45">
      <c r="A107" s="22">
        <v>3</v>
      </c>
      <c r="B107" s="23">
        <v>46112</v>
      </c>
      <c r="C107" s="24" t="s">
        <v>29</v>
      </c>
      <c r="D107" s="22">
        <v>584250</v>
      </c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72">
        <v>3127</v>
      </c>
      <c r="X107" s="74"/>
      <c r="Y107" s="89"/>
      <c r="Z107" s="11">
        <v>6000</v>
      </c>
      <c r="AA107" s="75">
        <v>1200</v>
      </c>
      <c r="AB107" s="75"/>
      <c r="AC107" s="75"/>
      <c r="AE107" s="50" t="s">
        <v>116</v>
      </c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</row>
    <row r="108" spans="1:45" ht="15" thickBot="1">
      <c r="A108" s="22">
        <v>4</v>
      </c>
      <c r="B108" s="23">
        <v>46112</v>
      </c>
      <c r="C108" s="24" t="s">
        <v>30</v>
      </c>
      <c r="D108" s="22">
        <v>10710</v>
      </c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5"/>
      <c r="X108" s="74"/>
      <c r="Y108" s="89"/>
      <c r="Z108" s="11"/>
      <c r="AA108" s="75"/>
      <c r="AB108" s="75"/>
      <c r="AC108" s="75"/>
      <c r="AE108" s="99" t="s">
        <v>117</v>
      </c>
      <c r="AF108" s="92"/>
      <c r="AG108" s="92"/>
      <c r="AH108" s="92"/>
      <c r="AI108" s="9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</row>
    <row r="109" spans="1:45" ht="15" thickBot="1">
      <c r="A109" s="22">
        <v>5</v>
      </c>
      <c r="B109" s="23">
        <v>46112</v>
      </c>
      <c r="C109" s="24" t="s">
        <v>31</v>
      </c>
      <c r="D109" s="22">
        <v>21800</v>
      </c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5"/>
      <c r="X109" s="74"/>
      <c r="Y109" s="89"/>
      <c r="Z109" s="11"/>
      <c r="AA109" s="75"/>
      <c r="AB109" s="75"/>
      <c r="AC109" s="75"/>
      <c r="AD109" s="93" t="s">
        <v>89</v>
      </c>
      <c r="AE109" s="94">
        <f>SUM(AF109:AS109)</f>
        <v>3233</v>
      </c>
      <c r="AF109" s="95">
        <f t="shared" ref="AF109:AG109" si="62">SUM(AF105:AF108)</f>
        <v>0</v>
      </c>
      <c r="AG109" s="95">
        <f t="shared" si="62"/>
        <v>0</v>
      </c>
      <c r="AH109" s="95">
        <f>SUM(AH105:AH108)</f>
        <v>0</v>
      </c>
      <c r="AI109" s="95">
        <f t="shared" ref="AI109:AS109" si="63">SUM(AI105:AI108)</f>
        <v>1000</v>
      </c>
      <c r="AJ109" s="95">
        <f t="shared" si="63"/>
        <v>2233</v>
      </c>
      <c r="AK109" s="95">
        <f t="shared" si="63"/>
        <v>0</v>
      </c>
      <c r="AL109" s="95">
        <f t="shared" si="63"/>
        <v>0</v>
      </c>
      <c r="AM109" s="95">
        <f t="shared" si="63"/>
        <v>0</v>
      </c>
      <c r="AN109" s="95">
        <f t="shared" si="63"/>
        <v>0</v>
      </c>
      <c r="AO109" s="95">
        <f t="shared" si="63"/>
        <v>0</v>
      </c>
      <c r="AP109" s="95">
        <f t="shared" si="63"/>
        <v>0</v>
      </c>
      <c r="AQ109" s="95">
        <f t="shared" si="63"/>
        <v>0</v>
      </c>
      <c r="AR109" s="95">
        <f t="shared" si="63"/>
        <v>0</v>
      </c>
      <c r="AS109" s="95">
        <f t="shared" si="63"/>
        <v>0</v>
      </c>
    </row>
    <row r="110" spans="1:45" ht="15" thickBot="1">
      <c r="A110" s="22">
        <v>6</v>
      </c>
      <c r="B110" s="23">
        <v>46112</v>
      </c>
      <c r="C110" s="24" t="s">
        <v>32</v>
      </c>
      <c r="D110" s="22">
        <v>10499.99</v>
      </c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5"/>
      <c r="X110" s="74"/>
      <c r="Y110" s="89"/>
      <c r="Z110" s="11"/>
      <c r="AA110" s="75"/>
      <c r="AB110" s="75"/>
      <c r="AC110" s="75"/>
      <c r="AI110" s="103" t="s">
        <v>124</v>
      </c>
      <c r="AJ110" s="103" t="s">
        <v>129</v>
      </c>
    </row>
    <row r="111" spans="1:45" ht="29.4" thickBot="1">
      <c r="A111" s="22">
        <v>7</v>
      </c>
      <c r="B111" s="23">
        <v>46112</v>
      </c>
      <c r="C111" s="24" t="s">
        <v>34</v>
      </c>
      <c r="D111" s="22">
        <v>102187.99</v>
      </c>
      <c r="F111" s="37" t="s">
        <v>33</v>
      </c>
      <c r="G111" s="3">
        <f>SUM(G105:G110)</f>
        <v>219073.14</v>
      </c>
      <c r="H111" s="3">
        <f t="shared" ref="H111:W111" si="64">SUM(H105:H110)</f>
        <v>21891</v>
      </c>
      <c r="I111" s="3">
        <f>SUM(I105:I110)</f>
        <v>178250.21</v>
      </c>
      <c r="J111" s="3">
        <f t="shared" si="64"/>
        <v>18764</v>
      </c>
      <c r="K111" s="3">
        <f t="shared" si="64"/>
        <v>207035</v>
      </c>
      <c r="L111" s="3">
        <f t="shared" si="64"/>
        <v>18763.86</v>
      </c>
      <c r="M111" s="3"/>
      <c r="N111" s="3"/>
      <c r="O111" s="3">
        <f t="shared" si="64"/>
        <v>188261.21</v>
      </c>
      <c r="P111" s="3">
        <f t="shared" si="64"/>
        <v>18763.86</v>
      </c>
      <c r="Q111" s="3">
        <f t="shared" si="64"/>
        <v>307042</v>
      </c>
      <c r="R111" s="3">
        <f t="shared" si="64"/>
        <v>25018.14</v>
      </c>
      <c r="S111" s="3">
        <f t="shared" si="64"/>
        <v>216551.5</v>
      </c>
      <c r="T111" s="3">
        <f t="shared" si="64"/>
        <v>218744</v>
      </c>
      <c r="U111" s="3">
        <f t="shared" si="64"/>
        <v>231055</v>
      </c>
      <c r="V111" s="3">
        <f t="shared" si="64"/>
        <v>106542.53</v>
      </c>
      <c r="W111" s="3">
        <f t="shared" si="64"/>
        <v>43782</v>
      </c>
      <c r="X111" s="52">
        <f t="shared" ref="X111:AC111" si="65">SUM(X105:X110)</f>
        <v>3500</v>
      </c>
      <c r="Y111" s="52">
        <f t="shared" si="65"/>
        <v>8000</v>
      </c>
      <c r="Z111" s="52">
        <f t="shared" si="65"/>
        <v>15000</v>
      </c>
      <c r="AA111" s="52">
        <f t="shared" si="65"/>
        <v>4740</v>
      </c>
      <c r="AB111" s="52">
        <f t="shared" si="65"/>
        <v>1100</v>
      </c>
      <c r="AC111" s="52">
        <f t="shared" si="65"/>
        <v>1500</v>
      </c>
    </row>
    <row r="112" spans="1:45" ht="30" customHeight="1">
      <c r="A112" s="22">
        <v>8</v>
      </c>
      <c r="B112" s="23">
        <v>46112</v>
      </c>
      <c r="C112" s="24" t="s">
        <v>85</v>
      </c>
      <c r="D112" s="22">
        <v>251784</v>
      </c>
      <c r="F112" s="41" t="s">
        <v>35</v>
      </c>
      <c r="G112" s="36">
        <v>219073.14</v>
      </c>
      <c r="H112" s="36">
        <v>21891</v>
      </c>
      <c r="I112" s="36">
        <v>207034.71</v>
      </c>
      <c r="J112" s="36">
        <v>18764</v>
      </c>
      <c r="K112" s="36">
        <v>207035</v>
      </c>
      <c r="L112" s="36">
        <v>18763.86</v>
      </c>
      <c r="M112" s="36"/>
      <c r="N112" s="36"/>
      <c r="O112" s="36">
        <v>189261.21</v>
      </c>
      <c r="P112" s="36">
        <v>18763.86</v>
      </c>
      <c r="Q112" s="36">
        <v>309275.55</v>
      </c>
      <c r="R112" s="36">
        <v>25018.14</v>
      </c>
      <c r="S112" s="36">
        <v>216551.6</v>
      </c>
      <c r="T112" s="36">
        <v>218744</v>
      </c>
      <c r="U112" s="36">
        <v>231055.31</v>
      </c>
      <c r="V112" s="36">
        <v>106542.53</v>
      </c>
      <c r="W112" s="17"/>
      <c r="X112" s="17"/>
      <c r="Y112" s="17"/>
      <c r="Z112" s="17"/>
      <c r="AA112" s="17"/>
      <c r="AB112" s="17"/>
      <c r="AC112" s="17"/>
    </row>
    <row r="113" spans="1:45">
      <c r="A113" s="22">
        <v>9</v>
      </c>
      <c r="B113" s="23">
        <v>46112</v>
      </c>
      <c r="C113" s="24" t="s">
        <v>37</v>
      </c>
      <c r="D113" s="22">
        <v>3425</v>
      </c>
      <c r="F113" s="43" t="s">
        <v>84</v>
      </c>
      <c r="G113" s="51">
        <f t="shared" ref="G113:L113" si="66">(G112-G111)</f>
        <v>0</v>
      </c>
      <c r="H113" s="51">
        <f t="shared" si="66"/>
        <v>0</v>
      </c>
      <c r="I113" s="51">
        <f t="shared" si="66"/>
        <v>28784.5</v>
      </c>
      <c r="J113" s="51">
        <f t="shared" si="66"/>
        <v>0</v>
      </c>
      <c r="K113" s="51">
        <f t="shared" si="66"/>
        <v>0</v>
      </c>
      <c r="L113" s="51">
        <f t="shared" si="66"/>
        <v>0</v>
      </c>
      <c r="M113" s="51"/>
      <c r="N113" s="51"/>
      <c r="O113" s="51">
        <f>(O112-O111)</f>
        <v>1000</v>
      </c>
      <c r="P113" s="51">
        <f>(P112-P111)</f>
        <v>0</v>
      </c>
      <c r="Q113" s="51">
        <f t="shared" ref="Q113:R113" si="67">(Q112-Q111)</f>
        <v>2233.5499999999884</v>
      </c>
      <c r="R113" s="51">
        <f t="shared" si="67"/>
        <v>0</v>
      </c>
      <c r="S113" s="51">
        <f>(S112-S111)</f>
        <v>0.10000000000582077</v>
      </c>
      <c r="T113" s="51">
        <f t="shared" ref="T113:U113" si="68">(T112-T111)</f>
        <v>0</v>
      </c>
      <c r="U113" s="51">
        <f t="shared" si="68"/>
        <v>0.30999999999767169</v>
      </c>
      <c r="V113" s="51">
        <f>(V112-V111)</f>
        <v>0</v>
      </c>
      <c r="W113" s="28"/>
      <c r="X113" s="28"/>
      <c r="Y113" s="28"/>
      <c r="Z113" s="28"/>
      <c r="AA113" s="28"/>
      <c r="AB113" s="28"/>
      <c r="AC113" s="28"/>
    </row>
    <row r="114" spans="1:45" ht="28.8">
      <c r="A114" s="22">
        <v>10</v>
      </c>
      <c r="B114" s="23">
        <v>46112</v>
      </c>
      <c r="C114" s="24" t="s">
        <v>114</v>
      </c>
      <c r="D114" s="22">
        <v>30000</v>
      </c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114</v>
      </c>
      <c r="Q114" s="26" t="s">
        <v>48</v>
      </c>
      <c r="R114" s="26" t="s">
        <v>115</v>
      </c>
      <c r="S114" s="27" t="s">
        <v>50</v>
      </c>
      <c r="T114" s="29" t="s">
        <v>51</v>
      </c>
      <c r="U114" s="29" t="s">
        <v>122</v>
      </c>
      <c r="V114" s="29" t="s">
        <v>123</v>
      </c>
      <c r="W114" s="30"/>
      <c r="X114" s="30"/>
      <c r="Y114" s="30"/>
      <c r="Z114" s="30"/>
      <c r="AA114" s="30"/>
      <c r="AB114" s="30"/>
      <c r="AC114" s="30"/>
    </row>
    <row r="115" spans="1:45">
      <c r="A115" s="22">
        <v>11</v>
      </c>
      <c r="B115" s="23">
        <v>46112</v>
      </c>
      <c r="C115" s="24" t="s">
        <v>115</v>
      </c>
      <c r="D115" s="22">
        <v>15789</v>
      </c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16">
        <v>46127</v>
      </c>
      <c r="W115" s="31"/>
      <c r="X115" s="31"/>
      <c r="Y115" s="31"/>
      <c r="Z115" s="31"/>
      <c r="AA115" s="31"/>
      <c r="AB115" s="31"/>
      <c r="AC115" s="31"/>
    </row>
    <row r="116" spans="1:45" ht="15" thickBot="1">
      <c r="A116" s="22">
        <v>12</v>
      </c>
      <c r="B116" s="23">
        <v>46112</v>
      </c>
      <c r="C116" s="24" t="s">
        <v>111</v>
      </c>
      <c r="D116" s="22">
        <v>56470</v>
      </c>
      <c r="F116" s="46" t="s">
        <v>59</v>
      </c>
      <c r="G116" s="46">
        <v>584250</v>
      </c>
      <c r="H116" s="46">
        <v>410452</v>
      </c>
      <c r="I116" s="46">
        <v>251784</v>
      </c>
      <c r="J116" s="46">
        <v>148965</v>
      </c>
      <c r="K116" s="46">
        <v>102187.99</v>
      </c>
      <c r="L116" s="46">
        <v>3425</v>
      </c>
      <c r="M116" s="46">
        <v>10499.99</v>
      </c>
      <c r="N116" s="46">
        <v>10710</v>
      </c>
      <c r="O116" s="46">
        <v>21800</v>
      </c>
      <c r="P116" s="46">
        <v>30000</v>
      </c>
      <c r="Q116" s="46"/>
      <c r="R116" s="46">
        <v>15789</v>
      </c>
      <c r="S116" s="46">
        <v>323670</v>
      </c>
      <c r="T116" s="46">
        <v>56470</v>
      </c>
      <c r="U116" s="46">
        <v>28535</v>
      </c>
      <c r="V116" s="46">
        <v>6000</v>
      </c>
      <c r="W116" s="17"/>
      <c r="X116" s="17"/>
      <c r="Y116" s="17"/>
      <c r="Z116" s="17"/>
      <c r="AA116" s="17"/>
      <c r="AB116" s="17"/>
      <c r="AC116" s="17"/>
    </row>
    <row r="117" spans="1:45" ht="43.8" thickBot="1">
      <c r="A117" s="22">
        <v>13</v>
      </c>
      <c r="B117" s="23">
        <v>46112</v>
      </c>
      <c r="C117" s="24" t="s">
        <v>112</v>
      </c>
      <c r="D117" s="22">
        <v>323670</v>
      </c>
      <c r="F117" s="53" t="s">
        <v>81</v>
      </c>
      <c r="G117" s="54">
        <f>SUM(G112:V112)</f>
        <v>2007773.91</v>
      </c>
      <c r="I117" s="55" t="s">
        <v>33</v>
      </c>
      <c r="J117" s="56">
        <f>SUM(G111:V111)</f>
        <v>1975755.4499999997</v>
      </c>
      <c r="L117" s="63" t="s">
        <v>77</v>
      </c>
      <c r="M117" s="64">
        <f>(G117-J117)</f>
        <v>32018.460000000196</v>
      </c>
      <c r="O117" s="57" t="s">
        <v>92</v>
      </c>
      <c r="P117" s="58">
        <f>SUM(G116:U116)</f>
        <v>1998537.98</v>
      </c>
      <c r="Q117" s="17"/>
      <c r="R117" s="59" t="s">
        <v>82</v>
      </c>
      <c r="S117" s="60">
        <f>SUM(X111:AA111)</f>
        <v>31240</v>
      </c>
      <c r="T117" s="32"/>
      <c r="U117" s="17"/>
    </row>
    <row r="118" spans="1:45">
      <c r="A118" s="22">
        <v>14</v>
      </c>
      <c r="B118" s="23">
        <v>46112</v>
      </c>
      <c r="C118" s="24" t="s">
        <v>123</v>
      </c>
      <c r="D118" s="22">
        <v>6000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17"/>
    </row>
    <row r="119" spans="1:45">
      <c r="A119" s="22">
        <v>15</v>
      </c>
      <c r="B119" s="23">
        <v>46112</v>
      </c>
      <c r="C119" s="24" t="s">
        <v>120</v>
      </c>
      <c r="D119" s="22">
        <v>28535</v>
      </c>
    </row>
    <row r="120" spans="1:45" ht="18.600000000000001" thickBot="1">
      <c r="A120" s="107" t="s">
        <v>121</v>
      </c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107"/>
      <c r="T120" s="107"/>
      <c r="U120" s="7"/>
      <c r="V120" s="7"/>
      <c r="W120" s="7"/>
      <c r="X120" s="7"/>
      <c r="Y120" s="7"/>
      <c r="Z120" s="7"/>
      <c r="AA120" s="108"/>
      <c r="AB120" s="109"/>
      <c r="AC120" s="97"/>
      <c r="AE120" s="105" t="s">
        <v>80</v>
      </c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</row>
    <row r="121" spans="1:45" ht="29.4" thickBot="1">
      <c r="A121" s="8" t="s">
        <v>2</v>
      </c>
      <c r="B121" s="8" t="s">
        <v>3</v>
      </c>
      <c r="C121" s="8" t="s">
        <v>4</v>
      </c>
      <c r="D121" s="8" t="s">
        <v>5</v>
      </c>
      <c r="F121" s="4" t="s">
        <v>6</v>
      </c>
      <c r="G121" s="4" t="s">
        <v>7</v>
      </c>
      <c r="H121" s="4" t="s">
        <v>8</v>
      </c>
      <c r="I121" s="5" t="s">
        <v>9</v>
      </c>
      <c r="J121" s="5" t="s">
        <v>10</v>
      </c>
      <c r="K121" s="5" t="s">
        <v>11</v>
      </c>
      <c r="L121" s="5" t="s">
        <v>12</v>
      </c>
      <c r="M121" s="5" t="s">
        <v>13</v>
      </c>
      <c r="N121" s="5" t="s">
        <v>14</v>
      </c>
      <c r="O121" s="5" t="s">
        <v>15</v>
      </c>
      <c r="P121" s="5" t="s">
        <v>16</v>
      </c>
      <c r="Q121" s="5" t="s">
        <v>17</v>
      </c>
      <c r="R121" s="5" t="s">
        <v>18</v>
      </c>
      <c r="S121" s="5" t="s">
        <v>19</v>
      </c>
      <c r="T121" s="5" t="s">
        <v>20</v>
      </c>
      <c r="U121" s="5" t="s">
        <v>21</v>
      </c>
      <c r="V121" s="5" t="s">
        <v>22</v>
      </c>
      <c r="W121" s="70" t="s">
        <v>24</v>
      </c>
      <c r="X121" s="48" t="s">
        <v>23</v>
      </c>
      <c r="Y121" s="86" t="s">
        <v>105</v>
      </c>
      <c r="Z121" s="48" t="s">
        <v>70</v>
      </c>
      <c r="AA121" s="68" t="s">
        <v>104</v>
      </c>
      <c r="AB121" s="68" t="s">
        <v>113</v>
      </c>
      <c r="AC121" s="68" t="s">
        <v>119</v>
      </c>
      <c r="AE121" s="100" t="s">
        <v>125</v>
      </c>
      <c r="AF121" s="91" t="s">
        <v>7</v>
      </c>
      <c r="AG121" s="91" t="s">
        <v>9</v>
      </c>
      <c r="AH121" s="91" t="s">
        <v>11</v>
      </c>
      <c r="AI121" s="91" t="s">
        <v>15</v>
      </c>
      <c r="AJ121" s="91" t="s">
        <v>17</v>
      </c>
      <c r="AK121" s="91" t="s">
        <v>19</v>
      </c>
      <c r="AL121" s="91" t="s">
        <v>20</v>
      </c>
      <c r="AM121" s="91" t="s">
        <v>21</v>
      </c>
      <c r="AN121" s="91" t="s">
        <v>22</v>
      </c>
      <c r="AO121" s="91" t="s">
        <v>8</v>
      </c>
      <c r="AP121" s="91" t="s">
        <v>10</v>
      </c>
      <c r="AQ121" s="91" t="s">
        <v>126</v>
      </c>
      <c r="AR121" s="91" t="s">
        <v>16</v>
      </c>
      <c r="AS121" s="91" t="s">
        <v>18</v>
      </c>
    </row>
    <row r="122" spans="1:45">
      <c r="A122" s="22">
        <v>1</v>
      </c>
      <c r="B122" s="23">
        <v>46142</v>
      </c>
      <c r="C122" s="24" t="s">
        <v>26</v>
      </c>
      <c r="D122" s="22"/>
      <c r="F122" s="11" t="s">
        <v>27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72"/>
      <c r="X122" s="74"/>
      <c r="Y122" s="74"/>
      <c r="Z122" s="11">
        <v>8000</v>
      </c>
      <c r="AA122" s="75">
        <v>1140</v>
      </c>
      <c r="AB122" s="75">
        <v>500</v>
      </c>
      <c r="AC122" s="75"/>
      <c r="AD122" s="33" t="s">
        <v>78</v>
      </c>
      <c r="AE122" s="50" t="s">
        <v>88</v>
      </c>
      <c r="AF122" s="90"/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</row>
    <row r="123" spans="1:45">
      <c r="A123" s="22">
        <v>2</v>
      </c>
      <c r="B123" s="23">
        <v>46142</v>
      </c>
      <c r="C123" s="24" t="s">
        <v>28</v>
      </c>
      <c r="D123" s="22"/>
      <c r="F123" s="11" t="s">
        <v>27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72"/>
      <c r="X123" s="74"/>
      <c r="Y123" s="89"/>
      <c r="Z123" s="11"/>
      <c r="AA123" s="75"/>
      <c r="AB123" s="75"/>
      <c r="AC123" s="75"/>
      <c r="AD123" s="34" t="s">
        <v>79</v>
      </c>
      <c r="AE123" s="50" t="s">
        <v>87</v>
      </c>
      <c r="AF123" s="90"/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</row>
    <row r="124" spans="1:45">
      <c r="A124" s="22">
        <v>3</v>
      </c>
      <c r="B124" s="23">
        <v>46142</v>
      </c>
      <c r="C124" s="24" t="s">
        <v>29</v>
      </c>
      <c r="D124" s="22"/>
      <c r="F124" s="11" t="s">
        <v>27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72"/>
      <c r="X124" s="74"/>
      <c r="Y124" s="89"/>
      <c r="Z124" s="11"/>
      <c r="AA124" s="75"/>
      <c r="AB124" s="75"/>
      <c r="AC124" s="75"/>
      <c r="AE124" s="50" t="s">
        <v>116</v>
      </c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</row>
    <row r="125" spans="1:45" ht="15" thickBot="1">
      <c r="A125" s="22">
        <v>4</v>
      </c>
      <c r="B125" s="23">
        <v>46142</v>
      </c>
      <c r="C125" s="24" t="s">
        <v>30</v>
      </c>
      <c r="D125" s="22"/>
      <c r="F125" s="11" t="s">
        <v>27</v>
      </c>
      <c r="G125" s="2"/>
      <c r="H125" s="2"/>
      <c r="I125" s="11"/>
      <c r="J125" s="2"/>
      <c r="K125" s="2"/>
      <c r="L125" s="2"/>
      <c r="M125" s="2"/>
      <c r="N125" s="2"/>
      <c r="O125" s="11"/>
      <c r="P125" s="2"/>
      <c r="Q125" s="2"/>
      <c r="R125" s="2"/>
      <c r="S125" s="2"/>
      <c r="T125" s="11"/>
      <c r="U125" s="2"/>
      <c r="V125" s="2"/>
      <c r="W125" s="85"/>
      <c r="X125" s="74"/>
      <c r="Y125" s="89"/>
      <c r="Z125" s="11"/>
      <c r="AA125" s="75"/>
      <c r="AB125" s="75"/>
      <c r="AC125" s="75"/>
      <c r="AE125" s="99" t="s">
        <v>117</v>
      </c>
      <c r="AF125" s="92"/>
      <c r="AG125" s="92"/>
      <c r="AH125" s="92"/>
      <c r="AI125" s="92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</row>
    <row r="126" spans="1:45" ht="15" thickBot="1">
      <c r="A126" s="22">
        <v>5</v>
      </c>
      <c r="B126" s="23">
        <v>46142</v>
      </c>
      <c r="C126" s="24" t="s">
        <v>31</v>
      </c>
      <c r="D126" s="22"/>
      <c r="F126" s="11" t="s">
        <v>27</v>
      </c>
      <c r="G126" s="2"/>
      <c r="H126" s="2"/>
      <c r="I126" s="11"/>
      <c r="J126" s="2"/>
      <c r="K126" s="2"/>
      <c r="L126" s="2"/>
      <c r="M126" s="2"/>
      <c r="N126" s="2"/>
      <c r="O126" s="11"/>
      <c r="P126" s="2"/>
      <c r="Q126" s="2"/>
      <c r="R126" s="2"/>
      <c r="S126" s="2"/>
      <c r="T126" s="11"/>
      <c r="U126" s="2"/>
      <c r="V126" s="2"/>
      <c r="W126" s="85"/>
      <c r="X126" s="74"/>
      <c r="Y126" s="89"/>
      <c r="Z126" s="11"/>
      <c r="AA126" s="75"/>
      <c r="AB126" s="75"/>
      <c r="AC126" s="75"/>
      <c r="AD126" s="93" t="s">
        <v>89</v>
      </c>
      <c r="AE126" s="94">
        <f>SUM(AF126:AS126)</f>
        <v>0</v>
      </c>
      <c r="AF126" s="95">
        <f t="shared" ref="AF126:AG126" si="69">SUM(AF122:AF125)</f>
        <v>0</v>
      </c>
      <c r="AG126" s="95">
        <f t="shared" si="69"/>
        <v>0</v>
      </c>
      <c r="AH126" s="95">
        <f>SUM(AH122:AH125)</f>
        <v>0</v>
      </c>
      <c r="AI126" s="95">
        <f t="shared" ref="AI126:AS126" si="70">SUM(AI122:AI125)</f>
        <v>0</v>
      </c>
      <c r="AJ126" s="95">
        <f t="shared" si="70"/>
        <v>0</v>
      </c>
      <c r="AK126" s="95">
        <f t="shared" si="70"/>
        <v>0</v>
      </c>
      <c r="AL126" s="95">
        <f t="shared" si="70"/>
        <v>0</v>
      </c>
      <c r="AM126" s="95">
        <f t="shared" si="70"/>
        <v>0</v>
      </c>
      <c r="AN126" s="95">
        <f t="shared" si="70"/>
        <v>0</v>
      </c>
      <c r="AO126" s="95">
        <f t="shared" si="70"/>
        <v>0</v>
      </c>
      <c r="AP126" s="95">
        <f t="shared" si="70"/>
        <v>0</v>
      </c>
      <c r="AQ126" s="95">
        <f t="shared" si="70"/>
        <v>0</v>
      </c>
      <c r="AR126" s="95">
        <f t="shared" si="70"/>
        <v>0</v>
      </c>
      <c r="AS126" s="95">
        <f t="shared" si="70"/>
        <v>0</v>
      </c>
    </row>
    <row r="127" spans="1:45" ht="15" thickBot="1">
      <c r="A127" s="22">
        <v>6</v>
      </c>
      <c r="B127" s="23">
        <v>46142</v>
      </c>
      <c r="C127" s="24" t="s">
        <v>32</v>
      </c>
      <c r="D127" s="22"/>
      <c r="F127" s="11" t="s">
        <v>27</v>
      </c>
      <c r="G127" s="2"/>
      <c r="H127" s="2"/>
      <c r="I127" s="11"/>
      <c r="J127" s="2"/>
      <c r="K127" s="2"/>
      <c r="L127" s="2"/>
      <c r="M127" s="2"/>
      <c r="N127" s="2"/>
      <c r="O127" s="11"/>
      <c r="P127" s="2"/>
      <c r="Q127" s="2"/>
      <c r="R127" s="2"/>
      <c r="S127" s="2"/>
      <c r="T127" s="11"/>
      <c r="U127" s="2"/>
      <c r="V127" s="2"/>
      <c r="W127" s="85"/>
      <c r="X127" s="74"/>
      <c r="Y127" s="89"/>
      <c r="Z127" s="11"/>
      <c r="AA127" s="75"/>
      <c r="AB127" s="75"/>
      <c r="AC127" s="75"/>
    </row>
    <row r="128" spans="1:45" ht="29.4" thickBot="1">
      <c r="A128" s="22">
        <v>7</v>
      </c>
      <c r="B128" s="23">
        <v>46142</v>
      </c>
      <c r="C128" s="24" t="s">
        <v>34</v>
      </c>
      <c r="D128" s="22"/>
      <c r="F128" s="37" t="s">
        <v>33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2">
        <f t="shared" ref="X128:AC128" si="71">SUM(X122:X127)</f>
        <v>0</v>
      </c>
      <c r="Y128" s="52">
        <f t="shared" si="71"/>
        <v>0</v>
      </c>
      <c r="Z128" s="52">
        <f t="shared" si="71"/>
        <v>8000</v>
      </c>
      <c r="AA128" s="52">
        <f t="shared" si="71"/>
        <v>1140</v>
      </c>
      <c r="AB128" s="52">
        <f t="shared" si="71"/>
        <v>500</v>
      </c>
      <c r="AC128" s="52">
        <f t="shared" si="71"/>
        <v>0</v>
      </c>
    </row>
    <row r="129" spans="1:29" ht="28.8">
      <c r="A129" s="22">
        <v>8</v>
      </c>
      <c r="B129" s="23">
        <v>46142</v>
      </c>
      <c r="C129" s="24" t="s">
        <v>85</v>
      </c>
      <c r="D129" s="22"/>
      <c r="F129" s="41" t="s">
        <v>35</v>
      </c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17"/>
      <c r="X129" s="17"/>
      <c r="Y129" s="17"/>
      <c r="Z129" s="17"/>
      <c r="AA129" s="17"/>
      <c r="AB129" s="17"/>
      <c r="AC129" s="17"/>
    </row>
    <row r="130" spans="1:29">
      <c r="A130" s="22">
        <v>9</v>
      </c>
      <c r="B130" s="23">
        <v>46142</v>
      </c>
      <c r="C130" s="24" t="s">
        <v>37</v>
      </c>
      <c r="D130" s="22"/>
      <c r="F130" s="43" t="s">
        <v>84</v>
      </c>
      <c r="G130" s="51">
        <f t="shared" ref="G130:L130" si="72">(G129-G128)</f>
        <v>0</v>
      </c>
      <c r="H130" s="51">
        <f t="shared" si="72"/>
        <v>0</v>
      </c>
      <c r="I130" s="51">
        <f t="shared" si="72"/>
        <v>0</v>
      </c>
      <c r="J130" s="51">
        <f t="shared" si="72"/>
        <v>0</v>
      </c>
      <c r="K130" s="51">
        <f t="shared" si="72"/>
        <v>0</v>
      </c>
      <c r="L130" s="51">
        <f t="shared" si="72"/>
        <v>0</v>
      </c>
      <c r="M130" s="51"/>
      <c r="N130" s="51"/>
      <c r="O130" s="51">
        <f>(O129-O128)</f>
        <v>0</v>
      </c>
      <c r="P130" s="51">
        <f>(P129-P128)</f>
        <v>0</v>
      </c>
      <c r="Q130" s="51">
        <f t="shared" ref="Q130:R130" si="73">(Q129-Q128)</f>
        <v>0</v>
      </c>
      <c r="R130" s="51">
        <f t="shared" si="73"/>
        <v>0</v>
      </c>
      <c r="S130" s="51">
        <f>(S129-S128)</f>
        <v>0</v>
      </c>
      <c r="T130" s="51">
        <f t="shared" ref="T130:U130" si="74">(T129-T128)</f>
        <v>0</v>
      </c>
      <c r="U130" s="51">
        <f t="shared" si="74"/>
        <v>0</v>
      </c>
      <c r="V130" s="51">
        <f>(V129-V128)</f>
        <v>0</v>
      </c>
      <c r="W130" s="28"/>
      <c r="X130" s="28"/>
      <c r="Y130" s="28"/>
      <c r="Z130" s="28"/>
      <c r="AA130" s="28"/>
      <c r="AB130" s="28"/>
      <c r="AC130" s="28"/>
    </row>
    <row r="131" spans="1:29" ht="28.8">
      <c r="A131" s="22">
        <v>10</v>
      </c>
      <c r="B131" s="23">
        <v>46142</v>
      </c>
      <c r="C131" s="24" t="s">
        <v>57</v>
      </c>
      <c r="D131" s="22"/>
      <c r="F131" s="4" t="s">
        <v>4</v>
      </c>
      <c r="G131" s="4" t="s">
        <v>38</v>
      </c>
      <c r="H131" s="5" t="s">
        <v>39</v>
      </c>
      <c r="I131" s="5" t="s">
        <v>86</v>
      </c>
      <c r="J131" s="5" t="s">
        <v>41</v>
      </c>
      <c r="K131" s="5" t="s">
        <v>42</v>
      </c>
      <c r="L131" s="26" t="s">
        <v>43</v>
      </c>
      <c r="M131" s="5" t="s">
        <v>44</v>
      </c>
      <c r="N131" s="26" t="s">
        <v>45</v>
      </c>
      <c r="O131" s="26" t="s">
        <v>46</v>
      </c>
      <c r="P131" s="26" t="s">
        <v>47</v>
      </c>
      <c r="Q131" s="26" t="s">
        <v>48</v>
      </c>
      <c r="R131" s="26" t="s">
        <v>49</v>
      </c>
      <c r="S131" s="27" t="s">
        <v>50</v>
      </c>
      <c r="T131" s="29" t="s">
        <v>51</v>
      </c>
      <c r="U131" s="29" t="s">
        <v>100</v>
      </c>
      <c r="V131" s="30"/>
      <c r="W131" s="30"/>
      <c r="X131" s="30"/>
      <c r="Y131" s="30"/>
      <c r="Z131" s="30"/>
      <c r="AA131" s="30"/>
      <c r="AB131" s="30"/>
      <c r="AC131" s="30"/>
    </row>
    <row r="132" spans="1:29">
      <c r="A132" s="22">
        <v>11</v>
      </c>
      <c r="B132" s="23">
        <v>46142</v>
      </c>
      <c r="C132" s="24" t="s">
        <v>60</v>
      </c>
      <c r="D132" s="22"/>
      <c r="F132" s="11" t="s">
        <v>3</v>
      </c>
      <c r="G132" s="16">
        <v>46157</v>
      </c>
      <c r="H132" s="16">
        <v>46157</v>
      </c>
      <c r="I132" s="16">
        <v>46157</v>
      </c>
      <c r="J132" s="16">
        <v>46157</v>
      </c>
      <c r="K132" s="16">
        <v>46157</v>
      </c>
      <c r="L132" s="16">
        <v>46157</v>
      </c>
      <c r="M132" s="16">
        <v>46157</v>
      </c>
      <c r="N132" s="16">
        <v>46157</v>
      </c>
      <c r="O132" s="16">
        <v>46157</v>
      </c>
      <c r="P132" s="16">
        <v>46157</v>
      </c>
      <c r="Q132" s="16">
        <v>46157</v>
      </c>
      <c r="R132" s="16">
        <v>46157</v>
      </c>
      <c r="S132" s="16">
        <v>46157</v>
      </c>
      <c r="T132" s="16">
        <v>46157</v>
      </c>
      <c r="U132" s="16">
        <v>46157</v>
      </c>
      <c r="V132" s="30"/>
      <c r="W132" s="31"/>
      <c r="X132" s="31"/>
      <c r="Y132" s="31"/>
      <c r="Z132" s="31"/>
      <c r="AA132" s="31"/>
      <c r="AB132" s="31"/>
      <c r="AC132" s="31"/>
    </row>
    <row r="133" spans="1:29" ht="15" thickBot="1">
      <c r="A133" s="22">
        <v>12</v>
      </c>
      <c r="B133" s="23">
        <v>46142</v>
      </c>
      <c r="C133" s="104" t="s">
        <v>130</v>
      </c>
      <c r="D133" s="22"/>
      <c r="F133" s="46" t="s">
        <v>59</v>
      </c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30"/>
      <c r="W133" s="17"/>
      <c r="X133" s="17"/>
      <c r="Y133" s="17"/>
      <c r="Z133" s="17"/>
      <c r="AA133" s="17"/>
      <c r="AB133" s="17"/>
      <c r="AC133" s="17"/>
    </row>
    <row r="134" spans="1:29" ht="43.8" thickBot="1">
      <c r="A134" s="22">
        <v>13</v>
      </c>
      <c r="B134" s="23">
        <v>46142</v>
      </c>
      <c r="C134" s="104" t="s">
        <v>131</v>
      </c>
      <c r="D134" s="22"/>
      <c r="F134" s="53" t="s">
        <v>81</v>
      </c>
      <c r="G134" s="54">
        <f>SUM(G129:V129)</f>
        <v>0</v>
      </c>
      <c r="I134" s="55" t="s">
        <v>33</v>
      </c>
      <c r="J134" s="56">
        <f>SUM(G128:V128)-AE132</f>
        <v>0</v>
      </c>
      <c r="L134" s="63" t="s">
        <v>77</v>
      </c>
      <c r="M134" s="64">
        <f>(G134-J134)</f>
        <v>0</v>
      </c>
      <c r="O134" s="57" t="s">
        <v>92</v>
      </c>
      <c r="P134" s="58">
        <f>SUM(G133:U133)</f>
        <v>0</v>
      </c>
      <c r="Q134" s="17"/>
      <c r="R134" s="59" t="s">
        <v>82</v>
      </c>
      <c r="S134" s="60">
        <f>SUM(X128:AA128)</f>
        <v>9140</v>
      </c>
      <c r="T134" s="32"/>
      <c r="U134" s="17"/>
    </row>
  </sheetData>
  <mergeCells count="52"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2026-04-29T09:30:58Z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