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2\"/>
    </mc:Choice>
  </mc:AlternateContent>
  <xr:revisionPtr revIDLastSave="0" documentId="13_ncr:1_{BD71AC24-E2C4-4314-BC05-505D526CCD4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4" i="1" l="1"/>
  <c r="P153" i="1"/>
  <c r="G153" i="1"/>
  <c r="G149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7" i="1"/>
  <c r="O149" i="1" s="1"/>
  <c r="K147" i="1"/>
  <c r="K149" i="1" s="1"/>
  <c r="J147" i="1"/>
  <c r="J149" i="1" s="1"/>
  <c r="I147" i="1"/>
  <c r="I149" i="1" s="1"/>
  <c r="H147" i="1"/>
  <c r="H149" i="1" s="1"/>
  <c r="G147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S153" i="1" l="1"/>
  <c r="AE27" i="1"/>
  <c r="AE43" i="1"/>
  <c r="AE75" i="1"/>
  <c r="AE145" i="1"/>
  <c r="L149" i="1"/>
  <c r="J153" i="1"/>
  <c r="M153" i="1" s="1"/>
  <c r="L128" i="1"/>
  <c r="L130" i="1" s="1"/>
  <c r="AE126" i="1"/>
  <c r="J117" i="1"/>
  <c r="M117" i="1" s="1"/>
  <c r="AE109" i="1"/>
  <c r="AE93" i="1"/>
  <c r="AE60" i="1"/>
  <c r="S134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S68" i="1"/>
  <c r="Q97" i="1"/>
  <c r="S117" i="1"/>
  <c r="S101" i="1"/>
  <c r="S83" i="1"/>
  <c r="L5" i="1" l="1"/>
  <c r="L4" i="1"/>
  <c r="G51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AR8" i="1"/>
  <c r="AP8" i="1"/>
  <c r="AS8" i="1"/>
  <c r="AI8" i="1"/>
  <c r="AJ8" i="1"/>
  <c r="AG8" i="1"/>
  <c r="AM8" i="1"/>
  <c r="AL8" i="1"/>
  <c r="AO8" i="1"/>
  <c r="AF8" i="1"/>
  <c r="AE8" i="1"/>
  <c r="J15" i="1"/>
  <c r="M15" i="1"/>
  <c r="AK8" i="1"/>
  <c r="AN8" i="1"/>
  <c r="AH8" i="1"/>
  <c r="AQ8" i="1"/>
</calcChain>
</file>

<file path=xl/sharedStrings.xml><?xml version="1.0" encoding="utf-8"?>
<sst xmlns="http://schemas.openxmlformats.org/spreadsheetml/2006/main" count="939" uniqueCount="143">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</sst>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55"/>
  <sheetViews>
    <sheetView tabSelected="1" topLeftCell="A95" zoomScale="50" zoomScaleNormal="50" workbookViewId="0">
      <selection activeCell="A90" sqref="A90:XFD90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3" t="s">
        <v>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0"/>
      <c r="V2" s="10"/>
      <c r="W2" s="10"/>
      <c r="X2" s="10"/>
      <c r="Y2" s="82"/>
      <c r="Z2" s="73"/>
      <c r="AE2" s="116" t="s">
        <v>83</v>
      </c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30"/>
      <c r="Z12" s="30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9"/>
      <c r="Z13" s="19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49"/>
      <c r="Z14" s="49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SUM(G14:Z14)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3" t="s">
        <v>65</v>
      </c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0"/>
      <c r="V21" s="10"/>
      <c r="W21" s="10"/>
      <c r="X21" s="10"/>
      <c r="Y21" s="82"/>
      <c r="Z21" s="73"/>
      <c r="AE21" s="116" t="s">
        <v>83</v>
      </c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3" t="s">
        <v>69</v>
      </c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0"/>
      <c r="V37" s="10"/>
      <c r="W37" s="10"/>
      <c r="X37" s="82"/>
      <c r="Y37" s="82"/>
      <c r="Z37" s="83"/>
      <c r="AA37" s="34"/>
      <c r="AB37" s="34"/>
      <c r="AC37" s="34"/>
      <c r="AE37" s="111" t="s">
        <v>83</v>
      </c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/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5000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288899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294426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5527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24877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1881240.6199999999</v>
      </c>
      <c r="I51" s="42" t="s">
        <v>33</v>
      </c>
      <c r="J51" s="16">
        <f>SUM(G45:V45)-AE49</f>
        <v>1845708.9</v>
      </c>
      <c r="L51" s="67" t="s">
        <v>77</v>
      </c>
      <c r="M51" s="68">
        <f>(G51-J51)</f>
        <v>35531.719999999972</v>
      </c>
      <c r="O51" s="43" t="s">
        <v>86</v>
      </c>
      <c r="P51" s="47">
        <f>SUM(G50:V50)</f>
        <v>1842211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29999.98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3" t="s">
        <v>76</v>
      </c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0"/>
      <c r="V54" s="10"/>
      <c r="W54" s="10"/>
      <c r="X54" s="82"/>
      <c r="Y54" s="82"/>
      <c r="Z54" s="83"/>
      <c r="AE54" s="111" t="s">
        <v>83</v>
      </c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3" t="s">
        <v>104</v>
      </c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0"/>
      <c r="V69" s="10"/>
      <c r="W69" s="10"/>
      <c r="X69" s="10"/>
      <c r="Y69" s="10"/>
      <c r="Z69" s="10"/>
      <c r="AA69" s="114"/>
      <c r="AB69" s="115"/>
      <c r="AC69" s="103"/>
      <c r="AE69" s="111" t="s">
        <v>83</v>
      </c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32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9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49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SUM(X77:AA77)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3" t="s">
        <v>109</v>
      </c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0"/>
      <c r="V87" s="10"/>
      <c r="W87" s="10"/>
      <c r="X87" s="10"/>
      <c r="Y87" s="10"/>
      <c r="Z87" s="10"/>
      <c r="AA87" s="114"/>
      <c r="AB87" s="115"/>
      <c r="AC87" s="103"/>
      <c r="AE87" s="111" t="s">
        <v>83</v>
      </c>
      <c r="AF87" s="112"/>
      <c r="AG87" s="112"/>
      <c r="AH87" s="112"/>
      <c r="AI87" s="112"/>
      <c r="AJ87" s="112"/>
      <c r="AK87" s="112"/>
      <c r="AL87" s="112"/>
      <c r="AM87" s="112"/>
      <c r="AN87" s="112"/>
      <c r="AO87" s="112"/>
      <c r="AP87" s="112"/>
      <c r="AQ87" s="112"/>
      <c r="AR87" s="112"/>
      <c r="AS87" s="112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34"/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34"/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34"/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1945693.98</v>
      </c>
      <c r="Q101" s="20"/>
      <c r="R101" s="63" t="s">
        <v>85</v>
      </c>
      <c r="S101" s="64">
        <f>SUM(X95:AA95)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3" t="s">
        <v>113</v>
      </c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0"/>
      <c r="V103" s="10"/>
      <c r="W103" s="10"/>
      <c r="X103" s="10"/>
      <c r="Y103" s="10"/>
      <c r="Z103" s="10"/>
      <c r="AA103" s="114"/>
      <c r="AB103" s="115"/>
      <c r="AC103" s="103"/>
      <c r="AE103" s="111" t="s">
        <v>83</v>
      </c>
      <c r="AF103" s="112"/>
      <c r="AG103" s="112"/>
      <c r="AH103" s="112"/>
      <c r="AI103" s="112"/>
      <c r="AJ103" s="112"/>
      <c r="AK103" s="112"/>
      <c r="AL103" s="112"/>
      <c r="AM103" s="112"/>
      <c r="AN103" s="112"/>
      <c r="AO103" s="112"/>
      <c r="AP103" s="112"/>
      <c r="AQ103" s="112"/>
      <c r="AR103" s="112"/>
      <c r="AS103" s="112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SUM(X111:AA111)</f>
        <v>31240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3" t="s">
        <v>123</v>
      </c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0"/>
      <c r="V120" s="10"/>
      <c r="W120" s="10"/>
      <c r="X120" s="10"/>
      <c r="Y120" s="10"/>
      <c r="Z120" s="10"/>
      <c r="AA120" s="114"/>
      <c r="AB120" s="115"/>
      <c r="AC120" s="103"/>
      <c r="AE120" s="111" t="s">
        <v>83</v>
      </c>
      <c r="AF120" s="112"/>
      <c r="AG120" s="112"/>
      <c r="AH120" s="112"/>
      <c r="AI120" s="112"/>
      <c r="AJ120" s="112"/>
      <c r="AK120" s="112"/>
      <c r="AL120" s="112"/>
      <c r="AM120" s="112"/>
      <c r="AN120" s="112"/>
      <c r="AO120" s="112"/>
      <c r="AP120" s="112"/>
      <c r="AQ120" s="112"/>
      <c r="AR120" s="112"/>
      <c r="AS120" s="112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/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>
        <v>15000</v>
      </c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18795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15000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235638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15000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32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9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49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2198254.7999999998</v>
      </c>
      <c r="L134" s="67" t="s">
        <v>77</v>
      </c>
      <c r="M134" s="68">
        <f>(G134-J134)</f>
        <v>7325.9700000002049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SUM(X128:AA128)</f>
        <v>23040</v>
      </c>
      <c r="T134" s="35"/>
      <c r="U134" s="20"/>
      <c r="W134" s="11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3" t="s">
        <v>140</v>
      </c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0"/>
      <c r="V139" s="10"/>
      <c r="W139" s="10"/>
      <c r="X139" s="10"/>
      <c r="Y139" s="10"/>
      <c r="Z139" s="10"/>
      <c r="AA139" s="114"/>
      <c r="AB139" s="115"/>
      <c r="AC139" s="103"/>
      <c r="AE139" s="111" t="s">
        <v>83</v>
      </c>
      <c r="AF139" s="112"/>
      <c r="AG139" s="112"/>
      <c r="AH139" s="112"/>
      <c r="AI139" s="112"/>
      <c r="AJ139" s="112"/>
      <c r="AK139" s="112"/>
      <c r="AL139" s="112"/>
      <c r="AM139" s="112"/>
      <c r="AN139" s="112"/>
      <c r="AO139" s="112"/>
      <c r="AP139" s="112"/>
      <c r="AQ139" s="112"/>
      <c r="AR139" s="112"/>
      <c r="AS139" s="112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46142</v>
      </c>
      <c r="C141" s="27" t="s">
        <v>26</v>
      </c>
      <c r="D141" s="25"/>
      <c r="F141" s="14" t="s">
        <v>27</v>
      </c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76"/>
      <c r="X141" s="78"/>
      <c r="Y141" s="78"/>
      <c r="Z141" s="14">
        <v>5000</v>
      </c>
      <c r="AA141" s="79"/>
      <c r="AB141" s="79"/>
      <c r="AC141" s="79"/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46142</v>
      </c>
      <c r="C142" s="27" t="s">
        <v>28</v>
      </c>
      <c r="D142" s="25"/>
      <c r="F142" s="14" t="s">
        <v>27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/>
      <c r="X142" s="78"/>
      <c r="Y142" s="93"/>
      <c r="Z142" s="14"/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46142</v>
      </c>
      <c r="C143" s="27" t="s">
        <v>29</v>
      </c>
      <c r="D143" s="25"/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/>
      <c r="X143" s="78"/>
      <c r="Y143" s="93"/>
      <c r="Z143" s="14"/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46142</v>
      </c>
      <c r="C144" s="27" t="s">
        <v>30</v>
      </c>
      <c r="D144" s="25"/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89"/>
      <c r="X144" s="78"/>
      <c r="Y144" s="93"/>
      <c r="Z144" s="14"/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46142</v>
      </c>
      <c r="C145" s="27" t="s">
        <v>31</v>
      </c>
      <c r="D145" s="25"/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/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46142</v>
      </c>
      <c r="C146" s="27" t="s">
        <v>32</v>
      </c>
      <c r="D146" s="25"/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/>
      <c r="AA146" s="79"/>
      <c r="AB146" s="79"/>
      <c r="AC146" s="79"/>
    </row>
    <row r="147" spans="1:45" ht="29.4" thickBot="1">
      <c r="A147" s="25">
        <v>7</v>
      </c>
      <c r="B147" s="26">
        <v>46142</v>
      </c>
      <c r="C147" s="27" t="s">
        <v>34</v>
      </c>
      <c r="D147" s="25"/>
      <c r="F147" s="40" t="s">
        <v>33</v>
      </c>
      <c r="G147" s="6">
        <f t="shared" ref="G147:L147" si="78">SUM(G141:G146)</f>
        <v>0</v>
      </c>
      <c r="H147" s="6">
        <f t="shared" si="78"/>
        <v>0</v>
      </c>
      <c r="I147" s="6">
        <f t="shared" si="78"/>
        <v>0</v>
      </c>
      <c r="J147" s="6">
        <f t="shared" si="78"/>
        <v>0</v>
      </c>
      <c r="K147" s="6">
        <f t="shared" si="78"/>
        <v>0</v>
      </c>
      <c r="L147" s="6">
        <f t="shared" si="78"/>
        <v>0</v>
      </c>
      <c r="M147" s="6"/>
      <c r="N147" s="6"/>
      <c r="O147" s="6">
        <f t="shared" ref="O147:U147" si="79">SUM(O141:O146)</f>
        <v>0</v>
      </c>
      <c r="P147" s="6">
        <f t="shared" si="79"/>
        <v>0</v>
      </c>
      <c r="Q147" s="6">
        <f t="shared" si="79"/>
        <v>0</v>
      </c>
      <c r="R147" s="6">
        <f t="shared" si="79"/>
        <v>0</v>
      </c>
      <c r="S147" s="6">
        <f t="shared" si="79"/>
        <v>0</v>
      </c>
      <c r="T147" s="6">
        <f t="shared" si="79"/>
        <v>0</v>
      </c>
      <c r="U147" s="6">
        <f t="shared" si="79"/>
        <v>0</v>
      </c>
      <c r="V147" s="6">
        <f>SUM(V141:V146)</f>
        <v>0</v>
      </c>
      <c r="W147" s="6">
        <f>SUM(W141:W146)</f>
        <v>0</v>
      </c>
      <c r="X147" s="55">
        <f t="shared" ref="X147:AC147" si="80">SUM(X141:X146)</f>
        <v>0</v>
      </c>
      <c r="Y147" s="55">
        <f t="shared" si="80"/>
        <v>0</v>
      </c>
      <c r="Z147" s="55">
        <f t="shared" si="80"/>
        <v>5000</v>
      </c>
      <c r="AA147" s="55">
        <f t="shared" si="80"/>
        <v>0</v>
      </c>
      <c r="AB147" s="55">
        <f t="shared" si="80"/>
        <v>0</v>
      </c>
      <c r="AC147" s="55">
        <f t="shared" si="80"/>
        <v>0</v>
      </c>
    </row>
    <row r="148" spans="1:45" ht="28.8">
      <c r="A148" s="25">
        <v>8</v>
      </c>
      <c r="B148" s="26">
        <v>46142</v>
      </c>
      <c r="C148" s="27" t="s">
        <v>88</v>
      </c>
      <c r="D148" s="25"/>
      <c r="F148" s="44" t="s">
        <v>35</v>
      </c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46142</v>
      </c>
      <c r="C149" s="27" t="s">
        <v>37</v>
      </c>
      <c r="D149" s="25"/>
      <c r="F149" s="46" t="s">
        <v>87</v>
      </c>
      <c r="G149" s="54">
        <f t="shared" ref="G149:L149" si="81">(G148-G147)</f>
        <v>0</v>
      </c>
      <c r="H149" s="54">
        <f t="shared" si="81"/>
        <v>0</v>
      </c>
      <c r="I149" s="54">
        <f t="shared" si="81"/>
        <v>0</v>
      </c>
      <c r="J149" s="54">
        <f t="shared" si="81"/>
        <v>0</v>
      </c>
      <c r="K149" s="54">
        <f t="shared" si="81"/>
        <v>0</v>
      </c>
      <c r="L149" s="54">
        <f t="shared" si="81"/>
        <v>0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</v>
      </c>
      <c r="R149" s="54">
        <f t="shared" si="82"/>
        <v>0</v>
      </c>
      <c r="S149" s="54">
        <f>(S148-S147)</f>
        <v>0</v>
      </c>
      <c r="T149" s="54">
        <f t="shared" ref="T149:U149" si="83">(T148-T147)</f>
        <v>0</v>
      </c>
      <c r="U149" s="54">
        <f t="shared" si="83"/>
        <v>0</v>
      </c>
      <c r="V149" s="54">
        <f>(V148-V147)</f>
        <v>0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46142</v>
      </c>
      <c r="C150" s="27" t="s">
        <v>117</v>
      </c>
      <c r="D150" s="25"/>
      <c r="F150" s="7" t="s">
        <v>4</v>
      </c>
      <c r="G150" s="7" t="s">
        <v>38</v>
      </c>
      <c r="H150" s="8" t="s">
        <v>39</v>
      </c>
      <c r="I150" s="8" t="s">
        <v>89</v>
      </c>
      <c r="J150" s="8" t="s">
        <v>41</v>
      </c>
      <c r="K150" s="8" t="s">
        <v>42</v>
      </c>
      <c r="L150" s="29" t="s">
        <v>43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48</v>
      </c>
      <c r="R150" s="29" t="s">
        <v>118</v>
      </c>
      <c r="S150" s="30" t="s">
        <v>50</v>
      </c>
      <c r="T150" s="32" t="s">
        <v>51</v>
      </c>
      <c r="U150" s="32" t="s">
        <v>131</v>
      </c>
      <c r="X150" s="33"/>
      <c r="Y150" s="33"/>
      <c r="Z150" s="33"/>
      <c r="AA150" s="33"/>
      <c r="AB150" s="33"/>
      <c r="AC150" s="33"/>
    </row>
    <row r="151" spans="1:45">
      <c r="A151" s="25">
        <v>11</v>
      </c>
      <c r="B151" s="26">
        <v>46142</v>
      </c>
      <c r="C151" s="27" t="s">
        <v>118</v>
      </c>
      <c r="D151" s="25"/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X151" s="34"/>
      <c r="Y151" s="34"/>
      <c r="Z151" s="34"/>
      <c r="AA151" s="34"/>
      <c r="AB151" s="34"/>
      <c r="AC151" s="34"/>
    </row>
    <row r="152" spans="1:45" ht="15" thickBot="1">
      <c r="A152" s="25">
        <v>12</v>
      </c>
      <c r="B152" s="26">
        <v>46142</v>
      </c>
      <c r="C152" s="27" t="s">
        <v>58</v>
      </c>
      <c r="D152" s="25"/>
      <c r="F152" s="49" t="s">
        <v>59</v>
      </c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X152" s="20"/>
      <c r="Y152" s="20"/>
      <c r="Z152" s="20"/>
      <c r="AA152" s="20"/>
      <c r="AB152" s="20"/>
      <c r="AC152" s="20"/>
    </row>
    <row r="153" spans="1:45" ht="43.8" thickBot="1">
      <c r="A153" s="25">
        <v>13</v>
      </c>
      <c r="B153" s="26">
        <v>46142</v>
      </c>
      <c r="C153" s="27" t="s">
        <v>141</v>
      </c>
      <c r="D153" s="25"/>
      <c r="F153" s="57" t="s">
        <v>84</v>
      </c>
      <c r="G153" s="58">
        <f>SUM(G148:V148)</f>
        <v>0</v>
      </c>
      <c r="I153" s="59" t="s">
        <v>33</v>
      </c>
      <c r="J153" s="60">
        <f>SUM(G147:V147)-AE151</f>
        <v>0</v>
      </c>
      <c r="L153" s="67" t="s">
        <v>77</v>
      </c>
      <c r="M153" s="68">
        <f>(G153-J153)</f>
        <v>0</v>
      </c>
      <c r="O153" s="61" t="s">
        <v>95</v>
      </c>
      <c r="P153" s="62">
        <f>SUM(G152:V152)</f>
        <v>0</v>
      </c>
      <c r="Q153" s="20"/>
      <c r="R153" s="63" t="s">
        <v>85</v>
      </c>
      <c r="S153" s="64">
        <f>SUM(X147:AA147)</f>
        <v>5000</v>
      </c>
      <c r="T153" s="35"/>
      <c r="U153" s="20"/>
    </row>
    <row r="154" spans="1:45">
      <c r="A154" s="25">
        <v>14</v>
      </c>
      <c r="B154" s="26">
        <v>46142</v>
      </c>
      <c r="C154" s="27" t="s">
        <v>142</v>
      </c>
      <c r="D154" s="25"/>
    </row>
    <row r="155" spans="1:45">
      <c r="A155" s="25">
        <v>15</v>
      </c>
      <c r="B155" s="26">
        <v>46142</v>
      </c>
      <c r="C155" s="27" t="s">
        <v>131</v>
      </c>
      <c r="D155" s="25"/>
    </row>
  </sheetData>
  <mergeCells count="59">
    <mergeCell ref="AA139:AB139"/>
    <mergeCell ref="AE139:AS139"/>
    <mergeCell ref="A139:D139"/>
    <mergeCell ref="E139:H139"/>
    <mergeCell ref="I139:L139"/>
    <mergeCell ref="M139:P139"/>
    <mergeCell ref="Q139:T139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</cols>
  <sheetData>
    <row r="1" spans="1:2">
      <c r="A1" s="1" t="s">
        <v>79</v>
      </c>
      <c r="B1" s="1" t="s">
        <v>80</v>
      </c>
    </row>
    <row r="2" spans="1:2">
      <c r="A2" s="2">
        <v>45976</v>
      </c>
      <c r="B2" s="3">
        <v>2000</v>
      </c>
    </row>
    <row r="3" spans="1:2">
      <c r="A3" s="2">
        <v>46039</v>
      </c>
      <c r="B3" s="3">
        <v>2000</v>
      </c>
    </row>
    <row r="4" spans="1:2">
      <c r="A4" s="2">
        <v>46039</v>
      </c>
      <c r="B4" s="3">
        <v>2000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2026-05-25T08:48:15Z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