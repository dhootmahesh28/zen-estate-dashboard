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5\"/>
    </mc:Choice>
  </mc:AlternateContent>
  <xr:revisionPtr revIDLastSave="0" documentId="13_ncr:1_{5E0C92B6-C59B-43C1-8310-8D08CDFD1A4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  <sheet name="Sheet3" sheetId="5" r:id="rId3"/>
    <sheet name="Sheet4" sheetId="4" r:id="rId4"/>
    <sheet name="Sheet5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6" i="1" l="1"/>
  <c r="L162" i="1"/>
  <c r="L161" i="1"/>
  <c r="L160" i="1" l="1"/>
  <c r="G51" i="1" l="1"/>
  <c r="H166" i="1"/>
  <c r="I166" i="1"/>
  <c r="J166" i="1"/>
  <c r="K166" i="1"/>
  <c r="O166" i="1"/>
  <c r="P166" i="1"/>
  <c r="Q166" i="1"/>
  <c r="R166" i="1"/>
  <c r="S166" i="1"/>
  <c r="T166" i="1"/>
  <c r="U166" i="1"/>
  <c r="V166" i="1"/>
  <c r="W166" i="1"/>
  <c r="G166" i="1"/>
  <c r="G147" i="1"/>
  <c r="J172" i="1" l="1"/>
  <c r="P188" i="1"/>
  <c r="J188" i="1"/>
  <c r="G188" i="1"/>
  <c r="V184" i="1"/>
  <c r="U184" i="1"/>
  <c r="T184" i="1"/>
  <c r="S184" i="1"/>
  <c r="R184" i="1"/>
  <c r="Q184" i="1"/>
  <c r="P184" i="1"/>
  <c r="O184" i="1"/>
  <c r="L184" i="1"/>
  <c r="K184" i="1"/>
  <c r="J184" i="1"/>
  <c r="I184" i="1"/>
  <c r="H184" i="1"/>
  <c r="G184" i="1"/>
  <c r="AC182" i="1"/>
  <c r="AB182" i="1"/>
  <c r="AA182" i="1"/>
  <c r="Z182" i="1"/>
  <c r="Y182" i="1"/>
  <c r="X182" i="1"/>
  <c r="W182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 l="1"/>
  <c r="M188" i="1"/>
  <c r="S188" i="1"/>
  <c r="O168" i="1"/>
  <c r="H168" i="1"/>
  <c r="O147" i="1"/>
  <c r="L141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I168" i="1"/>
  <c r="J168" i="1"/>
  <c r="K168" i="1"/>
  <c r="L168" i="1"/>
  <c r="P168" i="1"/>
  <c r="Q168" i="1"/>
  <c r="S168" i="1"/>
  <c r="T168" i="1"/>
  <c r="U168" i="1"/>
  <c r="V168" i="1"/>
  <c r="X166" i="1"/>
  <c r="Y166" i="1"/>
  <c r="Z166" i="1"/>
  <c r="AA166" i="1"/>
  <c r="AB166" i="1"/>
  <c r="AC166" i="1"/>
  <c r="R168" i="1"/>
  <c r="G172" i="1"/>
  <c r="P172" i="1"/>
  <c r="G153" i="1"/>
  <c r="P153" i="1"/>
  <c r="L124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9" i="1"/>
  <c r="K147" i="1"/>
  <c r="K149" i="1" s="1"/>
  <c r="J147" i="1"/>
  <c r="J149" i="1" s="1"/>
  <c r="I147" i="1"/>
  <c r="I149" i="1" s="1"/>
  <c r="H147" i="1"/>
  <c r="G149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P134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P10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H149" i="1" l="1"/>
  <c r="J153" i="1"/>
  <c r="M153" i="1" s="1"/>
  <c r="AE164" i="1"/>
  <c r="M172" i="1"/>
  <c r="S172" i="1"/>
  <c r="G168" i="1"/>
  <c r="S153" i="1"/>
  <c r="AE27" i="1"/>
  <c r="AE43" i="1"/>
  <c r="AE75" i="1"/>
  <c r="AE145" i="1"/>
  <c r="L149" i="1"/>
  <c r="L128" i="1"/>
  <c r="L130" i="1" s="1"/>
  <c r="AE126" i="1"/>
  <c r="J117" i="1"/>
  <c r="M117" i="1" s="1"/>
  <c r="AE109" i="1"/>
  <c r="AE93" i="1"/>
  <c r="AE60" i="1"/>
  <c r="S134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M101" i="1" s="1"/>
  <c r="H97" i="1"/>
  <c r="J83" i="1"/>
  <c r="M83" i="1" s="1"/>
  <c r="S68" i="1"/>
  <c r="Q97" i="1"/>
  <c r="S117" i="1"/>
  <c r="S101" i="1"/>
  <c r="S83" i="1"/>
  <c r="L5" i="1" l="1"/>
  <c r="L4" i="1"/>
  <c r="P51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35" i="1"/>
  <c r="S51" i="1"/>
  <c r="S15" i="1"/>
  <c r="L9" i="1"/>
  <c r="L11" i="1" s="1"/>
  <c r="T64" i="1"/>
  <c r="Q64" i="1"/>
  <c r="G11" i="1"/>
  <c r="AG8" i="1"/>
  <c r="AQ8" i="1"/>
  <c r="AN8" i="1"/>
  <c r="AM8" i="1"/>
  <c r="AH8" i="1"/>
  <c r="AS8" i="1"/>
  <c r="AL8" i="1"/>
  <c r="M15" i="1"/>
  <c r="J15" i="1"/>
  <c r="AE8" i="1"/>
  <c r="AF8" i="1"/>
  <c r="AK8" i="1"/>
  <c r="AI8" i="1"/>
  <c r="AP8" i="1"/>
  <c r="AO8" i="1"/>
  <c r="AJ8" i="1"/>
  <c r="AR8" i="1"/>
</calcChain>
</file>

<file path=xl/sharedStrings.xml><?xml version="1.0" encoding="utf-8"?>
<sst xmlns="http://schemas.openxmlformats.org/spreadsheetml/2006/main" count="1171" uniqueCount="175">
  <si>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</si>
  <si>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</si>
  <si>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</si>
  <si>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</si>
  <si>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</si>
  <si>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</si>
  <si>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</si>
  <si>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</si>
  <si>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</si>
  <si>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</si>
  <si>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</si>
  <si>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</si>
  <si>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</si>
  <si>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</si>
  <si>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</si>
  <si>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</si>
  <si>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</si>
  <si>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</si>
  <si>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</si>
  <si>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</si>
  <si>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</si>
  <si>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</si>
  <si>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</si>
  <si>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</si>
  <si>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</si>
  <si>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</si>
  <si>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</si>
  <si>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</si>
  <si>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</si>
  <si>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</si>
  <si>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</si>
  <si>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</si>
  <si>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</si>
  <si>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</si>
  <si>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</si>
  <si>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</si>
  <si>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</si>
  <si>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</si>
  <si>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</si>
  <si>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</si>
  <si>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</si>
  <si>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</si>
  <si>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</si>
  <si>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</si>
  <si>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</si>
  <si>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</si>
  <si>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</si>
  <si>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</si>
  <si>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</si>
  <si>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</si>
  <si>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</si>
  <si>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</si>
  <si>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</si>
  <si>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</si>
  <si>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</si>
  <si>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</si>
  <si>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</si>
  <si>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</si>
  <si>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</si>
  <si>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</si>
  <si>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</si>
  <si>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</si>
  <si>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</si>
  <si>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</si>
  <si>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</si>
  <si>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</si>
  <si>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</si>
  <si>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</si>
  <si>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</si>
  <si>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</si>
  <si>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</si>
  <si>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</si>
  <si>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</si>
  <si>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</si>
  <si>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</si>
  <si>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</si>
  <si>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</si>
  <si>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</si>
  <si>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</si>
  <si>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</si>
  <si>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</si>
  <si>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</si>
  <si>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</si>
  <si>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</si>
  <si>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</si>
  <si>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</si>
  <si>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</si>
  <si>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</si>
  <si>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</si>
  <si>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</si>
  <si>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</si>
  <si>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</si>
  <si>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</si>
  <si>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</si>
  <si>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</si>
  <si>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</si>
  <si>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</si>
  <si>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</si>
  <si>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</si>
  <si>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</si>
  <si>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</si>
  <si>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</si>
  <si>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</si>
  <si>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</si>
  <si>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</si>
  <si>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</si>
  <si>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</si>
  <si>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</si>
  <si>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</si>
  <si>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</si>
  <si>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</si>
  <si>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</si>
  <si>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</si>
  <si>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</si>
  <si>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</si>
  <si>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</si>
  <si>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</si>
  <si>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</si>
  <si>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</si>
  <si>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</si>
  <si>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</si>
  <si>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</si>
  <si>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</si>
  <si>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</si>
  <si>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</si>
  <si>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</si>
  <si>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</si>
  <si>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</si>
  <si>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</si>
  <si>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</si>
  <si>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</si>
  <si>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</si>
  <si>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</si>
  <si>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</si>
  <si>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</si>
  <si>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</si>
  <si>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</si>
  <si>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</si>
  <si>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</si>
  <si>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</si>
  <si>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</si>
  <si>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</si>
  <si>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</si>
  <si>
    <t>Club House Door repair</t>
  </si>
  <si>
    <t>FMS</t>
  </si>
  <si>
    <t>Santosh Water</t>
  </si>
  <si>
    <t>Naksh (HK)</t>
  </si>
  <si>
    <t>Komal Enterprises(HK)</t>
  </si>
  <si>
    <t>Garbage Disposal</t>
  </si>
  <si>
    <t>Exit gate and parking repair</t>
  </si>
  <si>
    <t>June 2026 Vendor Bills (Paid in July 2026)</t>
  </si>
  <si>
    <t>STP Electricity Bill June 2026</t>
  </si>
  <si>
    <t>Comman Electrcity June 2026</t>
  </si>
  <si>
    <t>Laptop</t>
  </si>
  <si>
    <t>DG 5 years AMC</t>
  </si>
  <si>
    <t xml:space="preserve">Architect </t>
  </si>
  <si>
    <t>Laptops- 2</t>
  </si>
  <si>
    <t>KR Security Services</t>
  </si>
  <si>
    <t>KR Security</t>
  </si>
  <si>
    <t>Pandhare Water Supplier</t>
  </si>
  <si>
    <t xml:space="preserve">Pandhare Water </t>
  </si>
  <si>
    <t>July 2026 Vendor Bills (Paid in August 2026)</t>
  </si>
  <si>
    <t>STP Electricity Bill July 2026</t>
  </si>
  <si>
    <t>Comman Electrcity July 2026</t>
  </si>
  <si>
    <t>Global STP</t>
  </si>
  <si>
    <t>STP 1st Installment</t>
  </si>
  <si>
    <t>Gym Maintenance</t>
  </si>
  <si>
    <t>Swimming Pool Work</t>
  </si>
  <si>
    <t>Solar Inverter Purchase</t>
  </si>
  <si>
    <t>STP 2nd Installment</t>
  </si>
  <si>
    <t>STP Carbon Filter</t>
  </si>
  <si>
    <t>STP Sludge Pump</t>
  </si>
  <si>
    <t>STP Transfer Pump</t>
  </si>
  <si>
    <t>Swimming pool work</t>
  </si>
  <si>
    <t>STP Upgrade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</si>
</sst>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15" fontId="0" fillId="26" borderId="1" xfId="0" applyNumberFormat="1" applyFill="1" applyBorder="1" applyAlignment="1">
      <alignment horizontal="center" vertical="center"/>
    </xf>
    <xf numFmtId="44" fontId="0" fillId="26" borderId="1" xfId="0" applyNumberForma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 wrapText="1"/>
    </xf>
    <xf numFmtId="0" fontId="0" fillId="14" borderId="0" xfId="0" applyFill="1"/>
    <xf numFmtId="44" fontId="0" fillId="14" borderId="18" xfId="0" applyNumberFormat="1" applyFill="1" applyBorder="1" applyAlignment="1">
      <alignment horizontal="center" vertical="center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91"/>
  <sheetViews>
    <sheetView tabSelected="1" topLeftCell="L147" zoomScale="55" zoomScaleNormal="55" workbookViewId="0">
      <selection activeCell="Z150" sqref="Z150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5.6640625" customWidth="1"/>
    <col min="24" max="24" width="13.66406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20" t="s">
        <v>1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0"/>
      <c r="V2" s="10"/>
      <c r="W2" s="10"/>
      <c r="X2" s="10"/>
      <c r="Y2" s="82"/>
      <c r="Z2" s="73"/>
      <c r="AE2" s="121" t="s">
        <v>83</v>
      </c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  <c r="AS2" s="122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113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11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112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SUM(G14:Y14)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20" t="s">
        <v>65</v>
      </c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0"/>
      <c r="U21" s="10"/>
      <c r="V21" s="10"/>
      <c r="W21" s="10"/>
      <c r="X21" s="10"/>
      <c r="Y21" s="82"/>
      <c r="Z21" s="73"/>
      <c r="AE21" s="121" t="s">
        <v>83</v>
      </c>
      <c r="AF21" s="122"/>
      <c r="AG21" s="122"/>
      <c r="AH21" s="122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  <c r="AS21" s="122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20" t="s">
        <v>69</v>
      </c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0"/>
      <c r="V37" s="10"/>
      <c r="W37" s="10"/>
      <c r="X37" s="82"/>
      <c r="Y37" s="82"/>
      <c r="Z37" s="83"/>
      <c r="AA37" s="34"/>
      <c r="AB37" s="34"/>
      <c r="AC37" s="34"/>
      <c r="AE37" s="118" t="s">
        <v>83</v>
      </c>
      <c r="AF37" s="119"/>
      <c r="AG37" s="119"/>
      <c r="AH37" s="119"/>
      <c r="AI37" s="119"/>
      <c r="AJ37" s="119"/>
      <c r="AK37" s="119"/>
      <c r="AL37" s="119"/>
      <c r="AM37" s="119"/>
      <c r="AN37" s="119"/>
      <c r="AO37" s="119"/>
      <c r="AP37" s="119"/>
      <c r="AQ37" s="119"/>
      <c r="AR37" s="119"/>
      <c r="AS37" s="119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94">
        <v>1000</v>
      </c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>
        <v>1623</v>
      </c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6000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1000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290522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291522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1000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26500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1878336.6199999999</v>
      </c>
      <c r="I51" s="42" t="s">
        <v>33</v>
      </c>
      <c r="J51" s="16">
        <f>SUM(G45:V45)-AE49</f>
        <v>1847331.9</v>
      </c>
      <c r="L51" s="67" t="s">
        <v>77</v>
      </c>
      <c r="M51" s="68">
        <f>(G51-J51)</f>
        <v>31004.719999999972</v>
      </c>
      <c r="O51" s="43" t="s">
        <v>86</v>
      </c>
      <c r="P51" s="47">
        <f>SUM(G50:V50)</f>
        <v>1843834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27096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20" t="s">
        <v>76</v>
      </c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0"/>
      <c r="V54" s="10"/>
      <c r="W54" s="10"/>
      <c r="X54" s="82"/>
      <c r="Y54" s="82"/>
      <c r="Z54" s="83"/>
      <c r="AE54" s="118" t="s">
        <v>83</v>
      </c>
      <c r="AF54" s="119"/>
      <c r="AG54" s="119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405</v>
      </c>
      <c r="M57" s="14"/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17808.68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1783.3199999999997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1982383.1300000001</v>
      </c>
      <c r="L68" s="67" t="s">
        <v>77</v>
      </c>
      <c r="M68" s="68">
        <f>(G68-J68)</f>
        <v>16947.020000000019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20" t="s">
        <v>104</v>
      </c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0"/>
      <c r="V69" s="10"/>
      <c r="W69" s="10"/>
      <c r="X69" s="10"/>
      <c r="Y69" s="10"/>
      <c r="Z69" s="10"/>
      <c r="AA69" s="116"/>
      <c r="AB69" s="117"/>
      <c r="AC69" s="103"/>
      <c r="AE69" s="118" t="s">
        <v>83</v>
      </c>
      <c r="AF69" s="119"/>
      <c r="AG69" s="119"/>
      <c r="AH69" s="119"/>
      <c r="AI69" s="119"/>
      <c r="AJ69" s="119"/>
      <c r="AK69" s="119"/>
      <c r="AL69" s="119"/>
      <c r="AM69" s="119"/>
      <c r="AN69" s="119"/>
      <c r="AO69" s="119"/>
      <c r="AP69" s="119"/>
      <c r="AQ69" s="119"/>
      <c r="AR69" s="119"/>
      <c r="AS69" s="119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137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113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11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112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SUM(X77:AA77)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20" t="s">
        <v>109</v>
      </c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0"/>
      <c r="V87" s="10"/>
      <c r="W87" s="10"/>
      <c r="X87" s="10"/>
      <c r="Y87" s="10"/>
      <c r="Z87" s="10"/>
      <c r="AA87" s="116"/>
      <c r="AB87" s="117"/>
      <c r="AC87" s="103"/>
      <c r="AE87" s="118" t="s">
        <v>83</v>
      </c>
      <c r="AF87" s="119"/>
      <c r="AG87" s="119"/>
      <c r="AH87" s="119"/>
      <c r="AI87" s="119"/>
      <c r="AJ87" s="119"/>
      <c r="AK87" s="119"/>
      <c r="AL87" s="119"/>
      <c r="AM87" s="119"/>
      <c r="AN87" s="119"/>
      <c r="AO87" s="119"/>
      <c r="AP87" s="119"/>
      <c r="AQ87" s="119"/>
      <c r="AR87" s="119"/>
      <c r="AS87" s="119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137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/>
      <c r="AR89" s="94"/>
      <c r="AS89" s="94"/>
      <c r="AT89" s="109"/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7444</v>
      </c>
      <c r="M90" s="14">
        <v>7117</v>
      </c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>
        <v>11386</v>
      </c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32199.85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0</v>
      </c>
      <c r="AR93" s="101">
        <f t="shared" si="54"/>
        <v>0</v>
      </c>
      <c r="AS93" s="101">
        <f t="shared" si="54"/>
        <v>0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16890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29037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3014.8600000000006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-2604.5200000000004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113" t="s">
        <v>166</v>
      </c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111">
        <v>46068</v>
      </c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112">
        <v>10800</v>
      </c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1899449.69</v>
      </c>
      <c r="L101" s="67" t="s">
        <v>77</v>
      </c>
      <c r="M101" s="68">
        <f>(G101-J101)</f>
        <v>46244.790000000037</v>
      </c>
      <c r="O101" s="61" t="s">
        <v>95</v>
      </c>
      <c r="P101" s="62">
        <f>SUM(G100:U100)</f>
        <v>1956493.98</v>
      </c>
      <c r="Q101" s="20"/>
      <c r="R101" s="63" t="s">
        <v>85</v>
      </c>
      <c r="S101" s="64">
        <f>SUM(X95:AA95)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20" t="s">
        <v>113</v>
      </c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0"/>
      <c r="V103" s="10"/>
      <c r="W103" s="10"/>
      <c r="X103" s="10"/>
      <c r="Y103" s="10"/>
      <c r="Z103" s="10"/>
      <c r="AA103" s="116"/>
      <c r="AB103" s="117"/>
      <c r="AC103" s="103"/>
      <c r="AE103" s="118" t="s">
        <v>83</v>
      </c>
      <c r="AF103" s="119"/>
      <c r="AG103" s="119"/>
      <c r="AH103" s="119"/>
      <c r="AI103" s="119"/>
      <c r="AJ103" s="119"/>
      <c r="AK103" s="119"/>
      <c r="AL103" s="119"/>
      <c r="AM103" s="119"/>
      <c r="AN103" s="119"/>
      <c r="AO103" s="119"/>
      <c r="AP103" s="119"/>
      <c r="AQ103" s="119"/>
      <c r="AR103" s="119"/>
      <c r="AS103" s="119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136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130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SUM(X111:AA111)</f>
        <v>31240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20" t="s">
        <v>123</v>
      </c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0"/>
      <c r="V120" s="10"/>
      <c r="W120" s="10"/>
      <c r="X120" s="10"/>
      <c r="Y120" s="10"/>
      <c r="Z120" s="10"/>
      <c r="AA120" s="116"/>
      <c r="AB120" s="117"/>
      <c r="AC120" s="103"/>
      <c r="AE120" s="118" t="s">
        <v>83</v>
      </c>
      <c r="AF120" s="119"/>
      <c r="AG120" s="119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136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>
        <v>15000</v>
      </c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>
        <f>SUM(M124:N124)</f>
        <v>4807</v>
      </c>
      <c r="M124" s="14">
        <v>4807</v>
      </c>
      <c r="N124" s="14"/>
      <c r="O124" s="14">
        <v>30907</v>
      </c>
      <c r="P124" s="14">
        <v>6765</v>
      </c>
      <c r="Q124" s="14"/>
      <c r="R124" s="14">
        <v>7691</v>
      </c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3795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17956.8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23721.940000000002</v>
      </c>
      <c r="S128" s="6">
        <f t="shared" si="71"/>
        <v>252337.7</v>
      </c>
      <c r="T128" s="6">
        <f t="shared" si="71"/>
        <v>250638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831.38000000000102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1329.6099999999969</v>
      </c>
      <c r="S130" s="54">
        <f>(S129-S128)</f>
        <v>9.9999999976716936E-2</v>
      </c>
      <c r="T130" s="54">
        <f t="shared" ref="T130:U130" si="75">(T129-T128)</f>
        <v>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131</v>
      </c>
      <c r="V131" s="32" t="s">
        <v>133</v>
      </c>
      <c r="W131" s="113" t="s">
        <v>134</v>
      </c>
      <c r="X131" s="33"/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11">
        <v>46157</v>
      </c>
      <c r="X132" s="34"/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112">
        <v>13500</v>
      </c>
      <c r="X133" s="20"/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139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2213254.7999999998</v>
      </c>
      <c r="L134" s="67" t="s">
        <v>77</v>
      </c>
      <c r="M134" s="68">
        <f>(G134-J134)</f>
        <v>-7674.0299999997951</v>
      </c>
      <c r="O134" s="61" t="s">
        <v>95</v>
      </c>
      <c r="P134" s="62">
        <f>SUM(G133:V133)</f>
        <v>2205579.98</v>
      </c>
      <c r="Q134" s="20"/>
      <c r="R134" s="63" t="s">
        <v>85</v>
      </c>
      <c r="S134" s="64">
        <f>SUM(X128:AA128)</f>
        <v>23040</v>
      </c>
      <c r="T134" s="35"/>
      <c r="U134" s="20"/>
    </row>
    <row r="135" spans="1:45">
      <c r="A135" s="25">
        <v>14</v>
      </c>
      <c r="B135" s="26">
        <v>46142</v>
      </c>
      <c r="C135" s="27" t="s">
        <v>138</v>
      </c>
      <c r="D135" s="25">
        <v>508882</v>
      </c>
    </row>
    <row r="136" spans="1:45">
      <c r="A136" s="25">
        <v>15</v>
      </c>
      <c r="B136" s="26">
        <v>46142</v>
      </c>
      <c r="C136" s="27" t="s">
        <v>131</v>
      </c>
      <c r="D136" s="25">
        <v>7500</v>
      </c>
    </row>
    <row r="137" spans="1:45">
      <c r="A137" s="25">
        <v>16</v>
      </c>
      <c r="B137" s="26">
        <v>46142</v>
      </c>
      <c r="C137" s="27" t="s">
        <v>132</v>
      </c>
      <c r="D137" s="25">
        <v>83169</v>
      </c>
    </row>
    <row r="138" spans="1:45">
      <c r="A138" s="25">
        <v>17</v>
      </c>
      <c r="B138" s="26">
        <v>46142</v>
      </c>
      <c r="C138" s="27" t="s">
        <v>135</v>
      </c>
      <c r="D138" s="25">
        <v>13500</v>
      </c>
      <c r="E138" s="110"/>
    </row>
    <row r="139" spans="1:45" ht="18.600000000000001" thickBot="1">
      <c r="A139" s="120" t="s">
        <v>140</v>
      </c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0"/>
      <c r="V139" s="10"/>
      <c r="W139" s="10"/>
      <c r="X139" s="10"/>
      <c r="Y139" s="10"/>
      <c r="Z139" s="10"/>
      <c r="AA139" s="116"/>
      <c r="AB139" s="117"/>
      <c r="AC139" s="103"/>
      <c r="AE139" s="118" t="s">
        <v>83</v>
      </c>
      <c r="AF139" s="119"/>
      <c r="AG139" s="119"/>
      <c r="AH139" s="119"/>
      <c r="AI139" s="119"/>
      <c r="AJ139" s="119"/>
      <c r="AK139" s="119"/>
      <c r="AL139" s="119"/>
      <c r="AM139" s="119"/>
      <c r="AN139" s="119"/>
      <c r="AO139" s="119"/>
      <c r="AP139" s="119"/>
      <c r="AQ139" s="119"/>
      <c r="AR139" s="119"/>
      <c r="AS139" s="119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136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46173</v>
      </c>
      <c r="C141" s="27" t="s">
        <v>144</v>
      </c>
      <c r="D141" s="25">
        <v>109820</v>
      </c>
      <c r="F141" s="14" t="s">
        <v>27</v>
      </c>
      <c r="G141" s="14">
        <v>217760.17</v>
      </c>
      <c r="H141" s="15">
        <v>21751</v>
      </c>
      <c r="I141" s="14">
        <v>202559.5</v>
      </c>
      <c r="J141" s="15">
        <v>18643</v>
      </c>
      <c r="K141" s="14">
        <v>203696</v>
      </c>
      <c r="L141" s="15">
        <f>SUM(M141:N141)</f>
        <v>18644</v>
      </c>
      <c r="M141" s="14">
        <v>15537</v>
      </c>
      <c r="N141" s="14">
        <v>3107</v>
      </c>
      <c r="O141" s="14">
        <v>204890.54</v>
      </c>
      <c r="P141" s="14">
        <v>18643.41</v>
      </c>
      <c r="Q141" s="14">
        <v>335120</v>
      </c>
      <c r="R141" s="14">
        <v>24858</v>
      </c>
      <c r="S141" s="14">
        <v>232972</v>
      </c>
      <c r="T141" s="14">
        <v>232972</v>
      </c>
      <c r="U141" s="14">
        <v>239960</v>
      </c>
      <c r="V141" s="14">
        <v>119395</v>
      </c>
      <c r="W141" s="76">
        <v>21751</v>
      </c>
      <c r="X141" s="78">
        <v>3400</v>
      </c>
      <c r="Y141" s="78"/>
      <c r="Z141" s="14">
        <v>6000</v>
      </c>
      <c r="AA141" s="79"/>
      <c r="AB141" s="79"/>
      <c r="AC141" s="79">
        <v>2000</v>
      </c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46173</v>
      </c>
      <c r="C142" s="27" t="s">
        <v>28</v>
      </c>
      <c r="D142" s="25">
        <v>397665</v>
      </c>
      <c r="F142" s="14" t="s">
        <v>27</v>
      </c>
      <c r="G142" s="14">
        <v>17646</v>
      </c>
      <c r="H142" s="14"/>
      <c r="I142" s="14"/>
      <c r="J142" s="14"/>
      <c r="K142" s="14">
        <v>17647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>
        <v>18643</v>
      </c>
      <c r="X142" s="78">
        <v>400</v>
      </c>
      <c r="Y142" s="93"/>
      <c r="Z142" s="14">
        <v>6000</v>
      </c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46173</v>
      </c>
      <c r="C143" s="27" t="s">
        <v>29</v>
      </c>
      <c r="D143" s="25">
        <v>444000</v>
      </c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>
        <v>3107</v>
      </c>
      <c r="X143" s="78"/>
      <c r="Y143" s="93"/>
      <c r="Z143" s="14">
        <v>10000</v>
      </c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46173</v>
      </c>
      <c r="C144" s="27" t="s">
        <v>125</v>
      </c>
      <c r="D144" s="25">
        <v>298500</v>
      </c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76">
        <v>15537</v>
      </c>
      <c r="X144" s="78"/>
      <c r="Y144" s="93"/>
      <c r="Z144" s="14">
        <v>6000</v>
      </c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46173</v>
      </c>
      <c r="C145" s="27" t="s">
        <v>30</v>
      </c>
      <c r="D145" s="25">
        <v>12005</v>
      </c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>
        <v>6000</v>
      </c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46173</v>
      </c>
      <c r="C146" s="27" t="s">
        <v>31</v>
      </c>
      <c r="D146" s="25">
        <v>21800</v>
      </c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>
        <v>5000</v>
      </c>
      <c r="AA146" s="79"/>
      <c r="AB146" s="79"/>
      <c r="AC146" s="79"/>
    </row>
    <row r="147" spans="1:45" ht="29.4" thickBot="1">
      <c r="A147" s="25">
        <v>7</v>
      </c>
      <c r="B147" s="26">
        <v>46173</v>
      </c>
      <c r="C147" s="27" t="s">
        <v>32</v>
      </c>
      <c r="D147" s="25">
        <v>10499.99</v>
      </c>
      <c r="F147" s="40" t="s">
        <v>33</v>
      </c>
      <c r="G147" s="6">
        <f>SUM(G141:G146)</f>
        <v>235406.17</v>
      </c>
      <c r="H147" s="6">
        <f t="shared" ref="H147:L147" si="78">SUM(H141:H146)</f>
        <v>21751</v>
      </c>
      <c r="I147" s="6">
        <f t="shared" si="78"/>
        <v>202559.5</v>
      </c>
      <c r="J147" s="6">
        <f t="shared" si="78"/>
        <v>18643</v>
      </c>
      <c r="K147" s="6">
        <f t="shared" si="78"/>
        <v>221343</v>
      </c>
      <c r="L147" s="6">
        <f t="shared" si="78"/>
        <v>18644</v>
      </c>
      <c r="M147" s="6"/>
      <c r="N147" s="6"/>
      <c r="O147" s="6">
        <f>SUM(O141:O146)</f>
        <v>204890.54</v>
      </c>
      <c r="P147" s="6">
        <f t="shared" ref="P147:U147" si="79">SUM(P141:P146)</f>
        <v>18643.41</v>
      </c>
      <c r="Q147" s="6">
        <f t="shared" si="79"/>
        <v>335120</v>
      </c>
      <c r="R147" s="6">
        <f t="shared" si="79"/>
        <v>24858</v>
      </c>
      <c r="S147" s="6">
        <f t="shared" si="79"/>
        <v>232972</v>
      </c>
      <c r="T147" s="6">
        <f t="shared" si="79"/>
        <v>232972</v>
      </c>
      <c r="U147" s="6">
        <f t="shared" si="79"/>
        <v>239960</v>
      </c>
      <c r="V147" s="6">
        <f>SUM(V141:V146)</f>
        <v>119395</v>
      </c>
      <c r="W147" s="6">
        <f>SUM(W141:W146)</f>
        <v>59038</v>
      </c>
      <c r="X147" s="55">
        <f t="shared" ref="X147:AC147" si="80">SUM(X141:X146)</f>
        <v>3800</v>
      </c>
      <c r="Y147" s="55">
        <f t="shared" si="80"/>
        <v>0</v>
      </c>
      <c r="Z147" s="55">
        <f t="shared" si="80"/>
        <v>39000</v>
      </c>
      <c r="AA147" s="55">
        <f t="shared" si="80"/>
        <v>0</v>
      </c>
      <c r="AB147" s="55">
        <f t="shared" si="80"/>
        <v>0</v>
      </c>
      <c r="AC147" s="55">
        <f t="shared" si="80"/>
        <v>2000</v>
      </c>
    </row>
    <row r="148" spans="1:45" ht="28.8">
      <c r="A148" s="25">
        <v>8</v>
      </c>
      <c r="B148" s="26">
        <v>46173</v>
      </c>
      <c r="C148" s="27" t="s">
        <v>34</v>
      </c>
      <c r="D148" s="25">
        <v>90187.99</v>
      </c>
      <c r="F148" s="44" t="s">
        <v>35</v>
      </c>
      <c r="G148" s="39">
        <v>235316.65</v>
      </c>
      <c r="H148" s="39">
        <v>21751.16</v>
      </c>
      <c r="I148" s="39">
        <v>221891</v>
      </c>
      <c r="J148" s="39">
        <v>18643.400000000001</v>
      </c>
      <c r="K148" s="39">
        <v>221342.55</v>
      </c>
      <c r="L148" s="39">
        <v>18643.41</v>
      </c>
      <c r="M148" s="39"/>
      <c r="N148" s="39"/>
      <c r="O148" s="39">
        <v>204890.54</v>
      </c>
      <c r="P148" s="39">
        <v>18643.41</v>
      </c>
      <c r="Q148" s="39">
        <v>335120.96999999997</v>
      </c>
      <c r="R148" s="39">
        <v>24857.9</v>
      </c>
      <c r="S148" s="39">
        <v>232972.41</v>
      </c>
      <c r="T148" s="39">
        <v>232972.41</v>
      </c>
      <c r="U148" s="39">
        <v>239960.2</v>
      </c>
      <c r="V148" s="39">
        <v>119395.27</v>
      </c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46173</v>
      </c>
      <c r="C149" s="27" t="s">
        <v>148</v>
      </c>
      <c r="D149" s="25">
        <v>10000</v>
      </c>
      <c r="F149" s="46" t="s">
        <v>87</v>
      </c>
      <c r="G149" s="54">
        <f t="shared" ref="G149:L149" si="81">(G148-G147)</f>
        <v>-89.520000000018626</v>
      </c>
      <c r="H149" s="54">
        <f t="shared" si="81"/>
        <v>0.15999999999985448</v>
      </c>
      <c r="I149" s="54">
        <f t="shared" si="81"/>
        <v>19331.5</v>
      </c>
      <c r="J149" s="54">
        <f t="shared" si="81"/>
        <v>0.40000000000145519</v>
      </c>
      <c r="K149" s="54">
        <f t="shared" si="81"/>
        <v>-0.45000000001164153</v>
      </c>
      <c r="L149" s="54">
        <f t="shared" si="81"/>
        <v>-0.59000000000014552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0.96999999997206032</v>
      </c>
      <c r="R149" s="54">
        <f t="shared" si="82"/>
        <v>-9.9999999998544808E-2</v>
      </c>
      <c r="S149" s="54">
        <f>(S148-S147)</f>
        <v>0.41000000000349246</v>
      </c>
      <c r="T149" s="54">
        <f t="shared" ref="T149:U149" si="83">(T148-T147)</f>
        <v>0.41000000000349246</v>
      </c>
      <c r="U149" s="54">
        <f t="shared" si="83"/>
        <v>0.20000000001164153</v>
      </c>
      <c r="V149" s="54">
        <f>(V148-V147)</f>
        <v>0.27000000000407454</v>
      </c>
      <c r="W149" s="31"/>
      <c r="X149" s="31"/>
      <c r="Y149" s="31"/>
      <c r="Z149" s="31"/>
      <c r="AA149" s="31"/>
      <c r="AB149" s="31"/>
      <c r="AC149" s="31"/>
    </row>
    <row r="150" spans="1:45" ht="28.8">
      <c r="A150" s="25">
        <v>10</v>
      </c>
      <c r="B150" s="26">
        <v>46173</v>
      </c>
      <c r="C150" s="27" t="s">
        <v>117</v>
      </c>
      <c r="D150" s="25">
        <v>30000</v>
      </c>
      <c r="F150" s="7" t="s">
        <v>4</v>
      </c>
      <c r="G150" s="7" t="s">
        <v>38</v>
      </c>
      <c r="H150" s="8" t="s">
        <v>39</v>
      </c>
      <c r="I150" s="8" t="s">
        <v>145</v>
      </c>
      <c r="J150" s="8" t="s">
        <v>144</v>
      </c>
      <c r="K150" s="8" t="s">
        <v>42</v>
      </c>
      <c r="L150" s="29" t="s">
        <v>148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118</v>
      </c>
      <c r="R150" s="30" t="s">
        <v>50</v>
      </c>
      <c r="S150" s="32" t="s">
        <v>51</v>
      </c>
      <c r="T150" s="32" t="s">
        <v>131</v>
      </c>
      <c r="U150" s="32" t="s">
        <v>146</v>
      </c>
      <c r="V150" s="32" t="s">
        <v>147</v>
      </c>
      <c r="W150" s="113" t="s">
        <v>153</v>
      </c>
      <c r="X150" s="113" t="s">
        <v>149</v>
      </c>
      <c r="Y150" s="113" t="s">
        <v>154</v>
      </c>
      <c r="Z150" s="113" t="s">
        <v>165</v>
      </c>
      <c r="AA150" s="113" t="s">
        <v>167</v>
      </c>
      <c r="AB150" s="113" t="s">
        <v>168</v>
      </c>
      <c r="AC150" s="33"/>
    </row>
    <row r="151" spans="1:45">
      <c r="A151" s="25">
        <v>11</v>
      </c>
      <c r="B151" s="26">
        <v>46173</v>
      </c>
      <c r="C151" s="27" t="s">
        <v>118</v>
      </c>
      <c r="D151" s="25">
        <v>32730</v>
      </c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V151" s="19">
        <v>46188</v>
      </c>
      <c r="W151" s="111">
        <v>46188</v>
      </c>
      <c r="X151" s="111">
        <v>46188</v>
      </c>
      <c r="Y151" s="111">
        <v>46188</v>
      </c>
      <c r="Z151" s="111">
        <v>46188</v>
      </c>
      <c r="AA151" s="111">
        <v>46218</v>
      </c>
      <c r="AB151" s="111">
        <v>46218</v>
      </c>
      <c r="AC151" s="34"/>
    </row>
    <row r="152" spans="1:45" ht="15" thickBot="1">
      <c r="A152" s="25">
        <v>12</v>
      </c>
      <c r="B152" s="26">
        <v>46173</v>
      </c>
      <c r="C152" s="27" t="s">
        <v>149</v>
      </c>
      <c r="D152" s="25">
        <v>18000</v>
      </c>
      <c r="F152" s="49" t="s">
        <v>59</v>
      </c>
      <c r="G152" s="49">
        <v>444000</v>
      </c>
      <c r="H152" s="49">
        <v>397665</v>
      </c>
      <c r="I152" s="49">
        <v>298500</v>
      </c>
      <c r="J152" s="49">
        <v>109820</v>
      </c>
      <c r="K152" s="49">
        <v>90187.99</v>
      </c>
      <c r="L152" s="49">
        <v>10000</v>
      </c>
      <c r="M152" s="49">
        <v>10499.99</v>
      </c>
      <c r="N152" s="49">
        <v>12005</v>
      </c>
      <c r="O152" s="49">
        <v>21800</v>
      </c>
      <c r="P152" s="49">
        <v>30000</v>
      </c>
      <c r="Q152" s="49">
        <v>32730</v>
      </c>
      <c r="R152" s="49">
        <v>482557</v>
      </c>
      <c r="S152" s="49">
        <v>35710</v>
      </c>
      <c r="T152" s="49">
        <v>4600</v>
      </c>
      <c r="U152" s="49">
        <v>76499</v>
      </c>
      <c r="V152" s="49">
        <v>99826</v>
      </c>
      <c r="W152" s="112">
        <v>48500</v>
      </c>
      <c r="X152" s="112">
        <v>18000</v>
      </c>
      <c r="Y152" s="112">
        <v>50976</v>
      </c>
      <c r="Z152" s="112">
        <v>219100</v>
      </c>
      <c r="AA152" s="112">
        <v>18880</v>
      </c>
      <c r="AB152" s="112">
        <v>298970</v>
      </c>
      <c r="AC152" s="20"/>
    </row>
    <row r="153" spans="1:45" ht="43.8" thickBot="1">
      <c r="A153" s="25">
        <v>13</v>
      </c>
      <c r="B153" s="26">
        <v>46173</v>
      </c>
      <c r="C153" s="27" t="s">
        <v>141</v>
      </c>
      <c r="D153" s="25">
        <v>35710</v>
      </c>
      <c r="F153" s="57" t="s">
        <v>84</v>
      </c>
      <c r="G153" s="58">
        <f>SUM(G148:V148)</f>
        <v>2146401.2799999998</v>
      </c>
      <c r="I153" s="59" t="s">
        <v>33</v>
      </c>
      <c r="J153" s="60">
        <f>SUM(G147:V147)-AE151</f>
        <v>2127157.62</v>
      </c>
      <c r="L153" s="67" t="s">
        <v>77</v>
      </c>
      <c r="M153" s="68">
        <f>(G153-J153)</f>
        <v>19243.659999999683</v>
      </c>
      <c r="O153" s="61" t="s">
        <v>95</v>
      </c>
      <c r="P153" s="62">
        <f>SUM(G152:W152)</f>
        <v>2204899.98</v>
      </c>
      <c r="R153" s="63" t="s">
        <v>85</v>
      </c>
      <c r="S153" s="64">
        <f>SUM(X147:AA147)</f>
        <v>42800</v>
      </c>
      <c r="T153" s="35"/>
      <c r="U153" s="20"/>
      <c r="W153" s="114"/>
      <c r="X153" s="114"/>
    </row>
    <row r="154" spans="1:45">
      <c r="A154" s="25">
        <v>14</v>
      </c>
      <c r="B154" s="26">
        <v>46173</v>
      </c>
      <c r="C154" s="27" t="s">
        <v>142</v>
      </c>
      <c r="D154" s="25">
        <v>482557</v>
      </c>
    </row>
    <row r="155" spans="1:45">
      <c r="A155" s="25">
        <v>15</v>
      </c>
      <c r="B155" s="26">
        <v>46173</v>
      </c>
      <c r="C155" s="27" t="s">
        <v>131</v>
      </c>
      <c r="D155" s="25">
        <v>4600</v>
      </c>
    </row>
    <row r="156" spans="1:45">
      <c r="A156" s="25">
        <v>16</v>
      </c>
      <c r="B156" s="26">
        <v>46173</v>
      </c>
      <c r="C156" s="27" t="s">
        <v>146</v>
      </c>
      <c r="D156" s="25">
        <v>76499</v>
      </c>
    </row>
    <row r="157" spans="1:45" ht="16.8" customHeight="1">
      <c r="A157" s="25">
        <v>17</v>
      </c>
      <c r="B157" s="26">
        <v>46173</v>
      </c>
      <c r="C157" s="27" t="s">
        <v>147</v>
      </c>
      <c r="D157" s="25">
        <v>99826</v>
      </c>
    </row>
    <row r="158" spans="1:45" ht="18.600000000000001" thickBot="1">
      <c r="A158" s="120" t="s">
        <v>150</v>
      </c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0"/>
      <c r="V158" s="10"/>
      <c r="W158" s="10"/>
      <c r="X158" s="10"/>
      <c r="Y158" s="10"/>
      <c r="Z158" s="10"/>
      <c r="AA158" s="116"/>
      <c r="AB158" s="117"/>
      <c r="AC158" s="103"/>
      <c r="AE158" s="118" t="s">
        <v>83</v>
      </c>
      <c r="AF158" s="119"/>
      <c r="AG158" s="119"/>
      <c r="AH158" s="119"/>
      <c r="AI158" s="119"/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</row>
    <row r="159" spans="1:45" ht="43.8" thickBot="1">
      <c r="A159" s="11" t="s">
        <v>2</v>
      </c>
      <c r="B159" s="11" t="s">
        <v>3</v>
      </c>
      <c r="C159" s="11" t="s">
        <v>4</v>
      </c>
      <c r="D159" s="11" t="s">
        <v>5</v>
      </c>
      <c r="F159" s="7" t="s">
        <v>6</v>
      </c>
      <c r="G159" s="7" t="s">
        <v>7</v>
      </c>
      <c r="H159" s="7" t="s">
        <v>8</v>
      </c>
      <c r="I159" s="8" t="s">
        <v>9</v>
      </c>
      <c r="J159" s="8" t="s">
        <v>10</v>
      </c>
      <c r="K159" s="8" t="s">
        <v>11</v>
      </c>
      <c r="L159" s="8" t="s">
        <v>12</v>
      </c>
      <c r="M159" s="8" t="s">
        <v>13</v>
      </c>
      <c r="N159" s="8" t="s">
        <v>14</v>
      </c>
      <c r="O159" s="8" t="s">
        <v>15</v>
      </c>
      <c r="P159" s="8" t="s">
        <v>16</v>
      </c>
      <c r="Q159" s="8" t="s">
        <v>17</v>
      </c>
      <c r="R159" s="8" t="s">
        <v>18</v>
      </c>
      <c r="S159" s="8" t="s">
        <v>19</v>
      </c>
      <c r="T159" s="8" t="s">
        <v>20</v>
      </c>
      <c r="U159" s="8" t="s">
        <v>21</v>
      </c>
      <c r="V159" s="8" t="s">
        <v>22</v>
      </c>
      <c r="W159" s="74" t="s">
        <v>24</v>
      </c>
      <c r="X159" s="51" t="s">
        <v>23</v>
      </c>
      <c r="Y159" s="90" t="s">
        <v>108</v>
      </c>
      <c r="Z159" s="51" t="s">
        <v>70</v>
      </c>
      <c r="AA159" s="72" t="s">
        <v>107</v>
      </c>
      <c r="AB159" s="72" t="s">
        <v>116</v>
      </c>
      <c r="AC159" s="72" t="s">
        <v>136</v>
      </c>
      <c r="AE159" s="106" t="s">
        <v>127</v>
      </c>
      <c r="AF159" s="95" t="s">
        <v>7</v>
      </c>
      <c r="AG159" s="95" t="s">
        <v>9</v>
      </c>
      <c r="AH159" s="95" t="s">
        <v>11</v>
      </c>
      <c r="AI159" s="95" t="s">
        <v>15</v>
      </c>
      <c r="AJ159" s="95" t="s">
        <v>17</v>
      </c>
      <c r="AK159" s="95" t="s">
        <v>19</v>
      </c>
      <c r="AL159" s="95" t="s">
        <v>20</v>
      </c>
      <c r="AM159" s="95" t="s">
        <v>21</v>
      </c>
      <c r="AN159" s="95" t="s">
        <v>22</v>
      </c>
      <c r="AO159" s="95" t="s">
        <v>8</v>
      </c>
      <c r="AP159" s="95" t="s">
        <v>10</v>
      </c>
      <c r="AQ159" s="95" t="s">
        <v>128</v>
      </c>
      <c r="AR159" s="95" t="s">
        <v>16</v>
      </c>
      <c r="AS159" s="95" t="s">
        <v>18</v>
      </c>
    </row>
    <row r="160" spans="1:45">
      <c r="A160" s="25">
        <v>1</v>
      </c>
      <c r="B160" s="26">
        <v>46203</v>
      </c>
      <c r="C160" s="27" t="s">
        <v>144</v>
      </c>
      <c r="D160" s="25">
        <v>100000</v>
      </c>
      <c r="F160" s="14" t="s">
        <v>27</v>
      </c>
      <c r="G160" s="14">
        <v>249027.66</v>
      </c>
      <c r="H160" s="76">
        <v>21127.565999999999</v>
      </c>
      <c r="I160" s="14">
        <v>236114.84</v>
      </c>
      <c r="J160" s="76">
        <v>18109.945</v>
      </c>
      <c r="K160" s="14">
        <v>235190</v>
      </c>
      <c r="L160" s="76">
        <f>SUM(M160:N160)</f>
        <v>18166.060000000001</v>
      </c>
      <c r="M160" s="14">
        <v>15246</v>
      </c>
      <c r="N160" s="14">
        <v>2920.06</v>
      </c>
      <c r="O160" s="14">
        <v>198717</v>
      </c>
      <c r="P160" s="14">
        <v>18885</v>
      </c>
      <c r="Q160" s="14">
        <v>345414</v>
      </c>
      <c r="R160" s="14">
        <v>25172</v>
      </c>
      <c r="S160" s="14">
        <v>232972</v>
      </c>
      <c r="T160" s="14">
        <v>258561</v>
      </c>
      <c r="U160" s="14">
        <v>244248.84</v>
      </c>
      <c r="V160" s="14">
        <v>121776.92</v>
      </c>
      <c r="W160" s="76">
        <v>21127.565999999999</v>
      </c>
      <c r="X160" s="78">
        <v>500</v>
      </c>
      <c r="Y160" s="78">
        <v>7000</v>
      </c>
      <c r="Z160" s="14">
        <v>6000</v>
      </c>
      <c r="AA160" s="79"/>
      <c r="AB160" s="79"/>
      <c r="AC160" s="79">
        <v>3000</v>
      </c>
      <c r="AD160" s="36" t="s">
        <v>81</v>
      </c>
      <c r="AE160" s="53" t="s">
        <v>91</v>
      </c>
      <c r="AF160" s="94"/>
      <c r="AG160" s="94"/>
      <c r="AH160" s="94"/>
      <c r="AI160" s="94"/>
      <c r="AJ160" s="94"/>
      <c r="AK160" s="94"/>
      <c r="AL160" s="94"/>
      <c r="AM160" s="94"/>
      <c r="AN160" s="94"/>
      <c r="AO160" s="94"/>
      <c r="AP160" s="94"/>
      <c r="AQ160" s="94"/>
      <c r="AR160" s="94"/>
      <c r="AS160" s="94"/>
    </row>
    <row r="161" spans="1:45">
      <c r="A161" s="25">
        <v>2</v>
      </c>
      <c r="B161" s="26">
        <v>46203</v>
      </c>
      <c r="C161" s="27" t="s">
        <v>157</v>
      </c>
      <c r="D161" s="25">
        <v>461937</v>
      </c>
      <c r="F161" s="14" t="s">
        <v>27</v>
      </c>
      <c r="G161" s="14"/>
      <c r="H161" s="115">
        <v>266.14999999999998</v>
      </c>
      <c r="I161" s="14"/>
      <c r="J161" s="115">
        <v>228.13</v>
      </c>
      <c r="K161" s="14"/>
      <c r="L161" s="115">
        <f>SUM(M161:N161)</f>
        <v>38.020000000000003</v>
      </c>
      <c r="M161" s="14"/>
      <c r="N161" s="14">
        <v>38.020000000000003</v>
      </c>
      <c r="O161" s="14">
        <v>20440</v>
      </c>
      <c r="P161" s="14"/>
      <c r="Q161" s="14">
        <v>13953</v>
      </c>
      <c r="R161" s="14"/>
      <c r="S161" s="14">
        <v>15917</v>
      </c>
      <c r="T161" s="14"/>
      <c r="U161" s="14"/>
      <c r="V161" s="14"/>
      <c r="W161" s="76">
        <v>18109.945</v>
      </c>
      <c r="X161" s="78"/>
      <c r="Y161" s="93">
        <v>8000</v>
      </c>
      <c r="Z161" s="14">
        <v>6000</v>
      </c>
      <c r="AA161" s="79"/>
      <c r="AB161" s="79"/>
      <c r="AC161" s="79">
        <v>2500</v>
      </c>
      <c r="AD161" s="37" t="s">
        <v>82</v>
      </c>
      <c r="AE161" s="53" t="s">
        <v>90</v>
      </c>
      <c r="AF161" s="94"/>
      <c r="AG161" s="94"/>
      <c r="AH161" s="94"/>
      <c r="AI161" s="94"/>
      <c r="AJ161" s="94"/>
      <c r="AK161" s="94"/>
      <c r="AL161" s="94"/>
      <c r="AM161" s="94"/>
      <c r="AN161" s="94"/>
      <c r="AO161" s="94"/>
      <c r="AP161" s="94"/>
      <c r="AQ161" s="94"/>
      <c r="AR161" s="94"/>
      <c r="AS161" s="94"/>
    </row>
    <row r="162" spans="1:45">
      <c r="A162" s="25">
        <v>3</v>
      </c>
      <c r="B162" s="26">
        <v>46203</v>
      </c>
      <c r="C162" s="27" t="s">
        <v>29</v>
      </c>
      <c r="D162" s="25">
        <v>496500</v>
      </c>
      <c r="F162" s="14" t="s">
        <v>27</v>
      </c>
      <c r="G162" s="14"/>
      <c r="H162" s="14">
        <v>637.4</v>
      </c>
      <c r="I162" s="14"/>
      <c r="J162" s="14">
        <v>546.34</v>
      </c>
      <c r="K162" s="14"/>
      <c r="L162" s="115">
        <f>SUM(M162:N162)</f>
        <v>91.06</v>
      </c>
      <c r="M162" s="14"/>
      <c r="N162" s="14">
        <v>91.06</v>
      </c>
      <c r="O162" s="14"/>
      <c r="P162" s="14"/>
      <c r="Q162" s="14"/>
      <c r="R162" s="14"/>
      <c r="S162" s="14"/>
      <c r="T162" s="14"/>
      <c r="U162" s="14"/>
      <c r="V162" s="14"/>
      <c r="W162" s="76">
        <v>2920.058</v>
      </c>
      <c r="X162" s="78"/>
      <c r="Y162" s="93"/>
      <c r="Z162" s="14">
        <v>6000</v>
      </c>
      <c r="AA162" s="79"/>
      <c r="AB162" s="79"/>
      <c r="AC162" s="79">
        <v>2000</v>
      </c>
      <c r="AE162" s="53" t="s">
        <v>119</v>
      </c>
      <c r="AF162" s="94"/>
      <c r="AG162" s="94"/>
      <c r="AH162" s="94"/>
      <c r="AI162" s="94"/>
      <c r="AJ162" s="94"/>
      <c r="AK162" s="94"/>
      <c r="AL162" s="94"/>
      <c r="AM162" s="94"/>
      <c r="AN162" s="94"/>
      <c r="AO162" s="94"/>
      <c r="AP162" s="94"/>
      <c r="AQ162" s="94"/>
      <c r="AR162" s="94"/>
      <c r="AS162" s="94"/>
    </row>
    <row r="163" spans="1:45" ht="15" thickBot="1">
      <c r="A163" s="25">
        <v>4</v>
      </c>
      <c r="B163" s="26">
        <v>46203</v>
      </c>
      <c r="C163" s="27" t="s">
        <v>125</v>
      </c>
      <c r="D163" s="25">
        <v>138000</v>
      </c>
      <c r="F163" s="14" t="s">
        <v>27</v>
      </c>
      <c r="G163" s="5"/>
      <c r="H163" s="5"/>
      <c r="I163" s="14"/>
      <c r="J163" s="5"/>
      <c r="K163" s="5"/>
      <c r="L163" s="5"/>
      <c r="M163" s="5"/>
      <c r="N163" s="5"/>
      <c r="O163" s="14"/>
      <c r="P163" s="5"/>
      <c r="Q163" s="5"/>
      <c r="R163" s="5"/>
      <c r="S163" s="5"/>
      <c r="T163" s="14"/>
      <c r="U163" s="5"/>
      <c r="V163" s="5"/>
      <c r="W163" s="89"/>
      <c r="X163" s="78"/>
      <c r="Y163" s="93"/>
      <c r="Z163" s="14">
        <v>6000</v>
      </c>
      <c r="AA163" s="79"/>
      <c r="AB163" s="79"/>
      <c r="AC163" s="79"/>
      <c r="AE163" s="105" t="s">
        <v>120</v>
      </c>
      <c r="AF163" s="98"/>
      <c r="AG163" s="98"/>
      <c r="AH163" s="98"/>
      <c r="AI163" s="98"/>
      <c r="AJ163" s="94"/>
      <c r="AK163" s="94"/>
      <c r="AL163" s="94"/>
      <c r="AM163" s="94"/>
      <c r="AN163" s="94"/>
      <c r="AO163" s="94"/>
      <c r="AP163" s="94"/>
      <c r="AQ163" s="94"/>
      <c r="AR163" s="94"/>
      <c r="AS163" s="94"/>
    </row>
    <row r="164" spans="1:45" ht="15" thickBot="1">
      <c r="A164" s="25">
        <v>5</v>
      </c>
      <c r="B164" s="26">
        <v>46203</v>
      </c>
      <c r="C164" s="27" t="s">
        <v>159</v>
      </c>
      <c r="D164" s="25">
        <v>87700</v>
      </c>
      <c r="F164" s="14" t="s">
        <v>27</v>
      </c>
      <c r="G164" s="5"/>
      <c r="H164" s="5"/>
      <c r="I164" s="14"/>
      <c r="J164" s="5"/>
      <c r="K164" s="5"/>
      <c r="L164" s="5"/>
      <c r="M164" s="5"/>
      <c r="N164" s="5"/>
      <c r="O164" s="14"/>
      <c r="P164" s="5"/>
      <c r="Q164" s="5"/>
      <c r="R164" s="5"/>
      <c r="S164" s="5"/>
      <c r="T164" s="14"/>
      <c r="U164" s="5"/>
      <c r="V164" s="5"/>
      <c r="W164" s="89"/>
      <c r="X164" s="78"/>
      <c r="Y164" s="93"/>
      <c r="Z164" s="14"/>
      <c r="AA164" s="79"/>
      <c r="AB164" s="79"/>
      <c r="AC164" s="79"/>
      <c r="AD164" s="99" t="s">
        <v>92</v>
      </c>
      <c r="AE164" s="100">
        <f>SUM(AF164:AS164)</f>
        <v>0</v>
      </c>
      <c r="AF164" s="101">
        <f t="shared" ref="AF164:AG164" si="84">SUM(AF160:AF163)</f>
        <v>0</v>
      </c>
      <c r="AG164" s="101">
        <f t="shared" si="84"/>
        <v>0</v>
      </c>
      <c r="AH164" s="101">
        <f>SUM(AH160:AH163)</f>
        <v>0</v>
      </c>
      <c r="AI164" s="101">
        <f t="shared" ref="AI164:AS164" si="85">SUM(AI160:AI163)</f>
        <v>0</v>
      </c>
      <c r="AJ164" s="101">
        <f t="shared" si="85"/>
        <v>0</v>
      </c>
      <c r="AK164" s="101">
        <f t="shared" si="85"/>
        <v>0</v>
      </c>
      <c r="AL164" s="101">
        <f t="shared" si="85"/>
        <v>0</v>
      </c>
      <c r="AM164" s="101">
        <f t="shared" si="85"/>
        <v>0</v>
      </c>
      <c r="AN164" s="101">
        <f t="shared" si="85"/>
        <v>0</v>
      </c>
      <c r="AO164" s="101">
        <f t="shared" si="85"/>
        <v>0</v>
      </c>
      <c r="AP164" s="101">
        <f t="shared" si="85"/>
        <v>0</v>
      </c>
      <c r="AQ164" s="101">
        <f t="shared" si="85"/>
        <v>0</v>
      </c>
      <c r="AR164" s="101">
        <f t="shared" si="85"/>
        <v>0</v>
      </c>
      <c r="AS164" s="101">
        <f t="shared" si="85"/>
        <v>0</v>
      </c>
    </row>
    <row r="165" spans="1:45" ht="15" thickBot="1">
      <c r="A165" s="25">
        <v>6</v>
      </c>
      <c r="B165" s="26">
        <v>46203</v>
      </c>
      <c r="C165" s="27" t="s">
        <v>30</v>
      </c>
      <c r="D165" s="25">
        <v>10570</v>
      </c>
      <c r="F165" s="14" t="s">
        <v>27</v>
      </c>
      <c r="G165" s="5"/>
      <c r="H165" s="5"/>
      <c r="I165" s="14"/>
      <c r="J165" s="5"/>
      <c r="K165" s="5"/>
      <c r="L165" s="5"/>
      <c r="M165" s="5"/>
      <c r="N165" s="5"/>
      <c r="O165" s="14"/>
      <c r="P165" s="5"/>
      <c r="Q165" s="5"/>
      <c r="R165" s="5"/>
      <c r="S165" s="5"/>
      <c r="T165" s="14"/>
      <c r="U165" s="5"/>
      <c r="V165" s="5"/>
      <c r="W165" s="89"/>
      <c r="X165" s="78"/>
      <c r="Y165" s="93"/>
      <c r="Z165" s="14"/>
      <c r="AA165" s="79"/>
      <c r="AB165" s="79"/>
      <c r="AC165" s="79"/>
    </row>
    <row r="166" spans="1:45" ht="29.4" thickBot="1">
      <c r="A166" s="25">
        <v>7</v>
      </c>
      <c r="B166" s="26">
        <v>46203</v>
      </c>
      <c r="C166" s="27" t="s">
        <v>31</v>
      </c>
      <c r="D166" s="25">
        <v>21800</v>
      </c>
      <c r="F166" s="40" t="s">
        <v>33</v>
      </c>
      <c r="G166" s="6">
        <f>SUM(G160:G165)</f>
        <v>249027.66</v>
      </c>
      <c r="H166" s="6">
        <f t="shared" ref="H166:W166" si="86">SUM(H160:H165)</f>
        <v>22031.116000000002</v>
      </c>
      <c r="I166" s="6">
        <f t="shared" si="86"/>
        <v>236114.84</v>
      </c>
      <c r="J166" s="6">
        <f t="shared" si="86"/>
        <v>18884.415000000001</v>
      </c>
      <c r="K166" s="6">
        <f t="shared" si="86"/>
        <v>235190</v>
      </c>
      <c r="L166" s="6">
        <f>SUM(L160:L165)</f>
        <v>18295.140000000003</v>
      </c>
      <c r="M166" s="6"/>
      <c r="N166" s="6"/>
      <c r="O166" s="6">
        <f t="shared" si="86"/>
        <v>219157</v>
      </c>
      <c r="P166" s="6">
        <f t="shared" si="86"/>
        <v>18885</v>
      </c>
      <c r="Q166" s="6">
        <f t="shared" si="86"/>
        <v>359367</v>
      </c>
      <c r="R166" s="6">
        <f t="shared" si="86"/>
        <v>25172</v>
      </c>
      <c r="S166" s="6">
        <f t="shared" si="86"/>
        <v>248889</v>
      </c>
      <c r="T166" s="6">
        <f t="shared" si="86"/>
        <v>258561</v>
      </c>
      <c r="U166" s="6">
        <f t="shared" si="86"/>
        <v>244248.84</v>
      </c>
      <c r="V166" s="6">
        <f t="shared" si="86"/>
        <v>121776.92</v>
      </c>
      <c r="W166" s="6">
        <f t="shared" si="86"/>
        <v>42157.568999999996</v>
      </c>
      <c r="X166" s="55">
        <f t="shared" ref="X166:AC166" si="87">SUM(X160:X165)</f>
        <v>500</v>
      </c>
      <c r="Y166" s="55">
        <f t="shared" si="87"/>
        <v>15000</v>
      </c>
      <c r="Z166" s="55">
        <f t="shared" si="87"/>
        <v>24000</v>
      </c>
      <c r="AA166" s="55">
        <f t="shared" si="87"/>
        <v>0</v>
      </c>
      <c r="AB166" s="55">
        <f t="shared" si="87"/>
        <v>0</v>
      </c>
      <c r="AC166" s="55">
        <f t="shared" si="87"/>
        <v>7500</v>
      </c>
    </row>
    <row r="167" spans="1:45" ht="28.8">
      <c r="A167" s="25">
        <v>8</v>
      </c>
      <c r="B167" s="26">
        <v>46203</v>
      </c>
      <c r="C167" s="27" t="s">
        <v>117</v>
      </c>
      <c r="D167" s="25">
        <v>30000</v>
      </c>
      <c r="F167" s="44" t="s">
        <v>35</v>
      </c>
      <c r="G167" s="39">
        <v>249027.66</v>
      </c>
      <c r="H167" s="39">
        <v>29472.3</v>
      </c>
      <c r="I167" s="39">
        <v>236114.84</v>
      </c>
      <c r="J167" s="39">
        <v>25263</v>
      </c>
      <c r="K167" s="39">
        <v>235190</v>
      </c>
      <c r="L167" s="39">
        <v>25262.55</v>
      </c>
      <c r="M167" s="39"/>
      <c r="N167" s="39"/>
      <c r="O167" s="39">
        <v>219222.25</v>
      </c>
      <c r="P167" s="39">
        <v>25262.55</v>
      </c>
      <c r="Q167" s="39">
        <v>359367</v>
      </c>
      <c r="R167" s="39">
        <v>33683</v>
      </c>
      <c r="S167" s="39">
        <v>248889.15</v>
      </c>
      <c r="T167" s="39">
        <v>248272</v>
      </c>
      <c r="U167" s="39">
        <v>244248.84</v>
      </c>
      <c r="V167" s="39">
        <v>179180.06</v>
      </c>
      <c r="W167" s="20"/>
      <c r="X167" s="20"/>
      <c r="Y167" s="20"/>
      <c r="Z167" s="20"/>
      <c r="AA167" s="20"/>
      <c r="AB167" s="20"/>
      <c r="AC167" s="20"/>
    </row>
    <row r="168" spans="1:45">
      <c r="A168" s="25">
        <v>9</v>
      </c>
      <c r="B168" s="26">
        <v>46203</v>
      </c>
      <c r="C168" s="27" t="s">
        <v>118</v>
      </c>
      <c r="D168" s="25">
        <v>36183</v>
      </c>
      <c r="F168" s="46" t="s">
        <v>87</v>
      </c>
      <c r="G168" s="54">
        <f t="shared" ref="G168:L168" si="88">(G167-G166)</f>
        <v>0</v>
      </c>
      <c r="H168" s="54">
        <f>(H167-H166)</f>
        <v>7441.1839999999975</v>
      </c>
      <c r="I168" s="54">
        <f t="shared" si="88"/>
        <v>0</v>
      </c>
      <c r="J168" s="54">
        <f t="shared" si="88"/>
        <v>6378.5849999999991</v>
      </c>
      <c r="K168" s="54">
        <f t="shared" si="88"/>
        <v>0</v>
      </c>
      <c r="L168" s="54">
        <f t="shared" si="88"/>
        <v>6967.4099999999962</v>
      </c>
      <c r="M168" s="54"/>
      <c r="N168" s="54"/>
      <c r="O168" s="54">
        <f>(O167-O166)</f>
        <v>65.25</v>
      </c>
      <c r="P168" s="54">
        <f>(P167-P166)</f>
        <v>6377.5499999999993</v>
      </c>
      <c r="Q168" s="54">
        <f t="shared" ref="Q168:R168" si="89">(Q167-Q166)</f>
        <v>0</v>
      </c>
      <c r="R168" s="54">
        <f t="shared" si="89"/>
        <v>8511</v>
      </c>
      <c r="S168" s="54">
        <f>(S167-S166)</f>
        <v>0.14999999999417923</v>
      </c>
      <c r="T168" s="54">
        <f t="shared" ref="T168:U168" si="90">(T167-T166)</f>
        <v>-10289</v>
      </c>
      <c r="U168" s="54">
        <f t="shared" si="90"/>
        <v>0</v>
      </c>
      <c r="V168" s="54">
        <f>(V167-V166)</f>
        <v>57403.14</v>
      </c>
      <c r="W168" s="31"/>
      <c r="X168" s="31"/>
      <c r="Y168" s="31"/>
      <c r="Z168" s="31"/>
      <c r="AA168" s="31"/>
      <c r="AB168" s="31"/>
      <c r="AC168" s="31"/>
    </row>
    <row r="169" spans="1:45" ht="28.8">
      <c r="A169" s="25">
        <v>10</v>
      </c>
      <c r="B169" s="26">
        <v>46203</v>
      </c>
      <c r="C169" s="27" t="s">
        <v>151</v>
      </c>
      <c r="D169" s="25">
        <v>81860</v>
      </c>
      <c r="F169" s="7" t="s">
        <v>4</v>
      </c>
      <c r="G169" s="7" t="s">
        <v>38</v>
      </c>
      <c r="H169" s="8" t="s">
        <v>158</v>
      </c>
      <c r="I169" s="8" t="s">
        <v>145</v>
      </c>
      <c r="J169" s="8" t="s">
        <v>160</v>
      </c>
      <c r="K169" s="8" t="s">
        <v>144</v>
      </c>
      <c r="L169" s="32" t="s">
        <v>147</v>
      </c>
      <c r="M169" s="32" t="s">
        <v>131</v>
      </c>
      <c r="N169" s="29" t="s">
        <v>45</v>
      </c>
      <c r="O169" s="29" t="s">
        <v>46</v>
      </c>
      <c r="P169" s="29" t="s">
        <v>117</v>
      </c>
      <c r="Q169" s="29" t="s">
        <v>118</v>
      </c>
      <c r="R169" s="30" t="s">
        <v>50</v>
      </c>
      <c r="S169" s="32" t="s">
        <v>51</v>
      </c>
      <c r="T169" s="32" t="s">
        <v>164</v>
      </c>
      <c r="U169" s="113" t="s">
        <v>169</v>
      </c>
      <c r="V169" s="113" t="s">
        <v>170</v>
      </c>
      <c r="W169" s="113" t="s">
        <v>171</v>
      </c>
      <c r="X169" s="113" t="s">
        <v>172</v>
      </c>
      <c r="Y169" s="113" t="s">
        <v>166</v>
      </c>
      <c r="Z169" s="33"/>
      <c r="AA169" s="33"/>
      <c r="AB169" s="33"/>
      <c r="AC169" s="33"/>
    </row>
    <row r="170" spans="1:45">
      <c r="A170" s="25">
        <v>11</v>
      </c>
      <c r="B170" s="26">
        <v>46203</v>
      </c>
      <c r="C170" s="27" t="s">
        <v>152</v>
      </c>
      <c r="D170" s="25">
        <v>466162</v>
      </c>
      <c r="F170" s="14" t="s">
        <v>3</v>
      </c>
      <c r="G170" s="19">
        <v>46218</v>
      </c>
      <c r="H170" s="19">
        <v>46218</v>
      </c>
      <c r="I170" s="19">
        <v>46218</v>
      </c>
      <c r="J170" s="19">
        <v>46218</v>
      </c>
      <c r="K170" s="19">
        <v>46218</v>
      </c>
      <c r="L170" s="19">
        <v>46218</v>
      </c>
      <c r="M170" s="19">
        <v>46218</v>
      </c>
      <c r="N170" s="19">
        <v>46218</v>
      </c>
      <c r="O170" s="19">
        <v>46218</v>
      </c>
      <c r="P170" s="19">
        <v>46218</v>
      </c>
      <c r="Q170" s="19">
        <v>46218</v>
      </c>
      <c r="R170" s="19">
        <v>46218</v>
      </c>
      <c r="S170" s="19">
        <v>46218</v>
      </c>
      <c r="T170" s="19">
        <v>46218</v>
      </c>
      <c r="U170" s="111">
        <v>46218</v>
      </c>
      <c r="V170" s="111">
        <v>46218</v>
      </c>
      <c r="W170" s="111">
        <v>46218</v>
      </c>
      <c r="X170" s="111">
        <v>46218</v>
      </c>
      <c r="Y170" s="111">
        <v>46218</v>
      </c>
      <c r="Z170" s="34"/>
      <c r="AA170" s="34"/>
      <c r="AB170" s="34"/>
      <c r="AC170" s="34"/>
    </row>
    <row r="171" spans="1:45" ht="15" thickBot="1">
      <c r="A171" s="25">
        <v>12</v>
      </c>
      <c r="B171" s="26">
        <v>46203</v>
      </c>
      <c r="C171" s="27" t="s">
        <v>131</v>
      </c>
      <c r="D171" s="25">
        <v>0</v>
      </c>
      <c r="F171" s="49" t="s">
        <v>59</v>
      </c>
      <c r="G171" s="49">
        <v>496500</v>
      </c>
      <c r="H171" s="49">
        <v>461937</v>
      </c>
      <c r="I171" s="49">
        <v>138000</v>
      </c>
      <c r="J171" s="49">
        <v>87700</v>
      </c>
      <c r="K171" s="49">
        <v>100000</v>
      </c>
      <c r="L171" s="49">
        <v>279196</v>
      </c>
      <c r="M171" s="49">
        <v>0</v>
      </c>
      <c r="N171" s="49">
        <v>10570</v>
      </c>
      <c r="O171" s="49">
        <v>21800</v>
      </c>
      <c r="P171" s="49">
        <v>30000</v>
      </c>
      <c r="Q171" s="49">
        <v>36183</v>
      </c>
      <c r="R171" s="49">
        <v>466162</v>
      </c>
      <c r="S171" s="49">
        <v>81860</v>
      </c>
      <c r="T171" s="49">
        <v>56000</v>
      </c>
      <c r="U171" s="112">
        <v>169250</v>
      </c>
      <c r="V171" s="112">
        <v>87108</v>
      </c>
      <c r="W171" s="112">
        <v>70800</v>
      </c>
      <c r="X171" s="112">
        <v>107500</v>
      </c>
      <c r="Y171" s="112">
        <v>5900</v>
      </c>
      <c r="Z171" s="20"/>
      <c r="AA171" s="20"/>
      <c r="AB171" s="20"/>
      <c r="AC171" s="20"/>
    </row>
    <row r="172" spans="1:45" ht="43.8" thickBot="1">
      <c r="A172" s="25">
        <v>13</v>
      </c>
      <c r="B172" s="26">
        <v>46203</v>
      </c>
      <c r="C172" s="27" t="s">
        <v>147</v>
      </c>
      <c r="D172" s="25">
        <v>279196</v>
      </c>
      <c r="F172" s="57" t="s">
        <v>84</v>
      </c>
      <c r="G172" s="58">
        <f>SUM(G167:V167)</f>
        <v>2358455.2000000002</v>
      </c>
      <c r="I172" s="59" t="s">
        <v>33</v>
      </c>
      <c r="J172" s="60">
        <f>SUM(G166:V166)-AE170</f>
        <v>2275599.9309999999</v>
      </c>
      <c r="L172" s="67" t="s">
        <v>77</v>
      </c>
      <c r="M172" s="68">
        <f>(G172-J172)</f>
        <v>82855.26900000032</v>
      </c>
      <c r="O172" s="61" t="s">
        <v>95</v>
      </c>
      <c r="P172" s="62">
        <f>SUM(G171:W171)</f>
        <v>2593066</v>
      </c>
      <c r="Q172" s="20"/>
      <c r="R172" s="63" t="s">
        <v>85</v>
      </c>
      <c r="S172" s="64">
        <f>SUM(X166:AA166)</f>
        <v>39500</v>
      </c>
      <c r="T172" s="35"/>
      <c r="U172" s="20"/>
    </row>
    <row r="173" spans="1:45">
      <c r="A173" s="25">
        <v>14</v>
      </c>
      <c r="B173" s="26">
        <v>46203</v>
      </c>
      <c r="C173" s="27" t="s">
        <v>164</v>
      </c>
      <c r="D173" s="25">
        <v>56000</v>
      </c>
    </row>
    <row r="174" spans="1:45" ht="18.600000000000001" thickBot="1">
      <c r="A174" s="120" t="s">
        <v>161</v>
      </c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0"/>
      <c r="V174" s="10"/>
      <c r="W174" s="10"/>
      <c r="X174" s="10"/>
      <c r="Y174" s="10"/>
      <c r="Z174" s="10"/>
      <c r="AA174" s="116"/>
      <c r="AB174" s="117"/>
      <c r="AC174" s="103"/>
      <c r="AE174" s="118" t="s">
        <v>83</v>
      </c>
      <c r="AF174" s="119"/>
      <c r="AG174" s="119"/>
      <c r="AH174" s="119"/>
      <c r="AI174" s="119"/>
      <c r="AJ174" s="119"/>
      <c r="AK174" s="119"/>
      <c r="AL174" s="119"/>
      <c r="AM174" s="119"/>
      <c r="AN174" s="119"/>
      <c r="AO174" s="119"/>
      <c r="AP174" s="119"/>
      <c r="AQ174" s="119"/>
      <c r="AR174" s="119"/>
      <c r="AS174" s="119"/>
    </row>
    <row r="175" spans="1:45" ht="43.8" thickBot="1">
      <c r="A175" s="11" t="s">
        <v>2</v>
      </c>
      <c r="B175" s="11" t="s">
        <v>3</v>
      </c>
      <c r="C175" s="11" t="s">
        <v>4</v>
      </c>
      <c r="D175" s="11" t="s">
        <v>5</v>
      </c>
      <c r="F175" s="7" t="s">
        <v>6</v>
      </c>
      <c r="G175" s="7" t="s">
        <v>7</v>
      </c>
      <c r="H175" s="7" t="s">
        <v>8</v>
      </c>
      <c r="I175" s="8" t="s">
        <v>9</v>
      </c>
      <c r="J175" s="8" t="s">
        <v>10</v>
      </c>
      <c r="K175" s="8" t="s">
        <v>11</v>
      </c>
      <c r="L175" s="8" t="s">
        <v>12</v>
      </c>
      <c r="M175" s="8" t="s">
        <v>13</v>
      </c>
      <c r="N175" s="8" t="s">
        <v>14</v>
      </c>
      <c r="O175" s="8" t="s">
        <v>15</v>
      </c>
      <c r="P175" s="8" t="s">
        <v>16</v>
      </c>
      <c r="Q175" s="8" t="s">
        <v>17</v>
      </c>
      <c r="R175" s="8" t="s">
        <v>18</v>
      </c>
      <c r="S175" s="8" t="s">
        <v>19</v>
      </c>
      <c r="T175" s="8" t="s">
        <v>20</v>
      </c>
      <c r="U175" s="8" t="s">
        <v>21</v>
      </c>
      <c r="V175" s="8" t="s">
        <v>22</v>
      </c>
      <c r="W175" s="74" t="s">
        <v>24</v>
      </c>
      <c r="X175" s="51" t="s">
        <v>23</v>
      </c>
      <c r="Y175" s="90" t="s">
        <v>108</v>
      </c>
      <c r="Z175" s="51" t="s">
        <v>70</v>
      </c>
      <c r="AA175" s="72" t="s">
        <v>107</v>
      </c>
      <c r="AB175" s="72" t="s">
        <v>116</v>
      </c>
      <c r="AC175" s="72" t="s">
        <v>136</v>
      </c>
      <c r="AE175" s="106" t="s">
        <v>127</v>
      </c>
      <c r="AF175" s="95" t="s">
        <v>7</v>
      </c>
      <c r="AG175" s="95" t="s">
        <v>9</v>
      </c>
      <c r="AH175" s="95" t="s">
        <v>11</v>
      </c>
      <c r="AI175" s="95" t="s">
        <v>15</v>
      </c>
      <c r="AJ175" s="95" t="s">
        <v>17</v>
      </c>
      <c r="AK175" s="95" t="s">
        <v>19</v>
      </c>
      <c r="AL175" s="95" t="s">
        <v>20</v>
      </c>
      <c r="AM175" s="95" t="s">
        <v>21</v>
      </c>
      <c r="AN175" s="95" t="s">
        <v>22</v>
      </c>
      <c r="AO175" s="95" t="s">
        <v>8</v>
      </c>
      <c r="AP175" s="95" t="s">
        <v>10</v>
      </c>
      <c r="AQ175" s="95" t="s">
        <v>128</v>
      </c>
      <c r="AR175" s="95" t="s">
        <v>16</v>
      </c>
      <c r="AS175" s="95" t="s">
        <v>18</v>
      </c>
    </row>
    <row r="176" spans="1:45">
      <c r="A176" s="25">
        <v>1</v>
      </c>
      <c r="B176" s="26">
        <v>46203</v>
      </c>
      <c r="C176" s="27" t="s">
        <v>144</v>
      </c>
      <c r="D176" s="25"/>
      <c r="F176" s="14" t="s">
        <v>27</v>
      </c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76"/>
      <c r="X176" s="78">
        <v>3000</v>
      </c>
      <c r="Y176" s="78"/>
      <c r="Z176" s="14">
        <v>6000</v>
      </c>
      <c r="AA176" s="79"/>
      <c r="AB176" s="79">
        <v>600</v>
      </c>
      <c r="AC176" s="79">
        <v>3000</v>
      </c>
      <c r="AD176" s="36" t="s">
        <v>81</v>
      </c>
      <c r="AE176" s="53" t="s">
        <v>91</v>
      </c>
      <c r="AF176" s="94"/>
      <c r="AG176" s="94"/>
      <c r="AH176" s="94"/>
      <c r="AI176" s="94"/>
      <c r="AJ176" s="94"/>
      <c r="AK176" s="94"/>
      <c r="AL176" s="94"/>
      <c r="AM176" s="94"/>
      <c r="AN176" s="94"/>
      <c r="AO176" s="94"/>
      <c r="AP176" s="94"/>
      <c r="AQ176" s="94"/>
      <c r="AR176" s="94"/>
      <c r="AS176" s="94"/>
    </row>
    <row r="177" spans="1:45">
      <c r="A177" s="25">
        <v>2</v>
      </c>
      <c r="B177" s="26">
        <v>46203</v>
      </c>
      <c r="C177" s="27" t="s">
        <v>157</v>
      </c>
      <c r="D177" s="25"/>
      <c r="F177" s="14" t="s">
        <v>27</v>
      </c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76"/>
      <c r="X177" s="78"/>
      <c r="Y177" s="93"/>
      <c r="Z177" s="14">
        <v>6000</v>
      </c>
      <c r="AA177" s="79"/>
      <c r="AB177" s="79">
        <v>500</v>
      </c>
      <c r="AC177" s="79">
        <v>2500</v>
      </c>
      <c r="AD177" s="37" t="s">
        <v>82</v>
      </c>
      <c r="AE177" s="53" t="s">
        <v>90</v>
      </c>
      <c r="AF177" s="94"/>
      <c r="AG177" s="94"/>
      <c r="AH177" s="94"/>
      <c r="AI177" s="94"/>
      <c r="AJ177" s="94"/>
      <c r="AK177" s="94"/>
      <c r="AL177" s="94"/>
      <c r="AM177" s="94"/>
      <c r="AN177" s="94"/>
      <c r="AO177" s="94"/>
      <c r="AP177" s="94"/>
      <c r="AQ177" s="94"/>
      <c r="AR177" s="94"/>
      <c r="AS177" s="94"/>
    </row>
    <row r="178" spans="1:45">
      <c r="A178" s="25">
        <v>3</v>
      </c>
      <c r="B178" s="26">
        <v>46203</v>
      </c>
      <c r="C178" s="27" t="s">
        <v>29</v>
      </c>
      <c r="D178" s="25"/>
      <c r="F178" s="14" t="s">
        <v>27</v>
      </c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76"/>
      <c r="X178" s="78"/>
      <c r="Y178" s="93"/>
      <c r="Z178" s="14">
        <v>6000</v>
      </c>
      <c r="AA178" s="79"/>
      <c r="AB178" s="79"/>
      <c r="AC178" s="79"/>
      <c r="AE178" s="53" t="s">
        <v>119</v>
      </c>
      <c r="AF178" s="94"/>
      <c r="AG178" s="94"/>
      <c r="AH178" s="94"/>
      <c r="AI178" s="94"/>
      <c r="AJ178" s="94"/>
      <c r="AK178" s="94"/>
      <c r="AL178" s="94"/>
      <c r="AM178" s="94"/>
      <c r="AN178" s="94"/>
      <c r="AO178" s="94"/>
      <c r="AP178" s="94"/>
      <c r="AQ178" s="94"/>
      <c r="AR178" s="94"/>
      <c r="AS178" s="94"/>
    </row>
    <row r="179" spans="1:45" ht="15" thickBot="1">
      <c r="A179" s="25">
        <v>4</v>
      </c>
      <c r="B179" s="26">
        <v>46203</v>
      </c>
      <c r="C179" s="27" t="s">
        <v>125</v>
      </c>
      <c r="D179" s="25"/>
      <c r="F179" s="14" t="s">
        <v>27</v>
      </c>
      <c r="G179" s="5"/>
      <c r="H179" s="5"/>
      <c r="I179" s="14"/>
      <c r="J179" s="5"/>
      <c r="K179" s="5"/>
      <c r="L179" s="5"/>
      <c r="M179" s="5"/>
      <c r="N179" s="5"/>
      <c r="O179" s="14"/>
      <c r="P179" s="5"/>
      <c r="Q179" s="5"/>
      <c r="R179" s="5"/>
      <c r="S179" s="5"/>
      <c r="T179" s="14"/>
      <c r="U179" s="5"/>
      <c r="V179" s="5"/>
      <c r="W179" s="89"/>
      <c r="X179" s="78"/>
      <c r="Y179" s="93"/>
      <c r="Z179" s="14">
        <v>6000</v>
      </c>
      <c r="AA179" s="79"/>
      <c r="AB179" s="79"/>
      <c r="AC179" s="79"/>
      <c r="AE179" s="105" t="s">
        <v>120</v>
      </c>
      <c r="AF179" s="98"/>
      <c r="AG179" s="98"/>
      <c r="AH179" s="98"/>
      <c r="AI179" s="98"/>
      <c r="AJ179" s="94"/>
      <c r="AK179" s="94"/>
      <c r="AL179" s="94"/>
      <c r="AM179" s="94"/>
      <c r="AN179" s="94"/>
      <c r="AO179" s="94"/>
      <c r="AP179" s="94"/>
      <c r="AQ179" s="94"/>
      <c r="AR179" s="94"/>
      <c r="AS179" s="94"/>
    </row>
    <row r="180" spans="1:45" ht="15" thickBot="1">
      <c r="A180" s="25">
        <v>5</v>
      </c>
      <c r="B180" s="26">
        <v>46203</v>
      </c>
      <c r="C180" s="27" t="s">
        <v>159</v>
      </c>
      <c r="D180" s="25"/>
      <c r="F180" s="14" t="s">
        <v>27</v>
      </c>
      <c r="G180" s="5"/>
      <c r="H180" s="5"/>
      <c r="I180" s="14"/>
      <c r="J180" s="5"/>
      <c r="K180" s="5"/>
      <c r="L180" s="5"/>
      <c r="M180" s="5"/>
      <c r="N180" s="5"/>
      <c r="O180" s="14"/>
      <c r="P180" s="5"/>
      <c r="Q180" s="5"/>
      <c r="R180" s="5"/>
      <c r="S180" s="5"/>
      <c r="T180" s="14"/>
      <c r="U180" s="5"/>
      <c r="V180" s="5"/>
      <c r="W180" s="89"/>
      <c r="X180" s="78"/>
      <c r="Y180" s="93"/>
      <c r="Z180" s="14"/>
      <c r="AA180" s="79"/>
      <c r="AB180" s="79"/>
      <c r="AC180" s="79"/>
      <c r="AD180" s="99" t="s">
        <v>92</v>
      </c>
      <c r="AE180" s="100">
        <f>SUM(AF180:AS180)</f>
        <v>0</v>
      </c>
      <c r="AF180" s="101">
        <f t="shared" ref="AF180:AG180" si="91">SUM(AF176:AF179)</f>
        <v>0</v>
      </c>
      <c r="AG180" s="101">
        <f t="shared" si="91"/>
        <v>0</v>
      </c>
      <c r="AH180" s="101">
        <f>SUM(AH176:AH179)</f>
        <v>0</v>
      </c>
      <c r="AI180" s="101">
        <f t="shared" ref="AI180:AS180" si="92">SUM(AI176:AI179)</f>
        <v>0</v>
      </c>
      <c r="AJ180" s="101">
        <f t="shared" si="92"/>
        <v>0</v>
      </c>
      <c r="AK180" s="101">
        <f t="shared" si="92"/>
        <v>0</v>
      </c>
      <c r="AL180" s="101">
        <f t="shared" si="92"/>
        <v>0</v>
      </c>
      <c r="AM180" s="101">
        <f t="shared" si="92"/>
        <v>0</v>
      </c>
      <c r="AN180" s="101">
        <f t="shared" si="92"/>
        <v>0</v>
      </c>
      <c r="AO180" s="101">
        <f t="shared" si="92"/>
        <v>0</v>
      </c>
      <c r="AP180" s="101">
        <f t="shared" si="92"/>
        <v>0</v>
      </c>
      <c r="AQ180" s="101">
        <f t="shared" si="92"/>
        <v>0</v>
      </c>
      <c r="AR180" s="101">
        <f t="shared" si="92"/>
        <v>0</v>
      </c>
      <c r="AS180" s="101">
        <f t="shared" si="92"/>
        <v>0</v>
      </c>
    </row>
    <row r="181" spans="1:45" ht="15" thickBot="1">
      <c r="A181" s="25">
        <v>6</v>
      </c>
      <c r="B181" s="26">
        <v>46203</v>
      </c>
      <c r="C181" s="27" t="s">
        <v>30</v>
      </c>
      <c r="D181" s="25"/>
      <c r="F181" s="14" t="s">
        <v>27</v>
      </c>
      <c r="G181" s="5"/>
      <c r="H181" s="5"/>
      <c r="I181" s="14"/>
      <c r="J181" s="5"/>
      <c r="K181" s="5"/>
      <c r="L181" s="5"/>
      <c r="M181" s="5"/>
      <c r="N181" s="5"/>
      <c r="O181" s="14"/>
      <c r="P181" s="5"/>
      <c r="Q181" s="5"/>
      <c r="R181" s="5"/>
      <c r="S181" s="5"/>
      <c r="T181" s="14"/>
      <c r="U181" s="5"/>
      <c r="V181" s="5"/>
      <c r="W181" s="89"/>
      <c r="X181" s="78"/>
      <c r="Y181" s="93"/>
      <c r="Z181" s="14"/>
      <c r="AA181" s="79"/>
      <c r="AB181" s="79"/>
      <c r="AC181" s="79"/>
    </row>
    <row r="182" spans="1:45" ht="29.4" thickBot="1">
      <c r="A182" s="25">
        <v>7</v>
      </c>
      <c r="B182" s="26">
        <v>46203</v>
      </c>
      <c r="C182" s="27" t="s">
        <v>31</v>
      </c>
      <c r="D182" s="25"/>
      <c r="F182" s="40" t="s">
        <v>33</v>
      </c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>
        <f>SUM(W176:W181)</f>
        <v>0</v>
      </c>
      <c r="X182" s="55">
        <f t="shared" ref="X182:AC182" si="93">SUM(X176:X181)</f>
        <v>3000</v>
      </c>
      <c r="Y182" s="55">
        <f t="shared" si="93"/>
        <v>0</v>
      </c>
      <c r="Z182" s="55">
        <f t="shared" si="93"/>
        <v>24000</v>
      </c>
      <c r="AA182" s="55">
        <f t="shared" si="93"/>
        <v>0</v>
      </c>
      <c r="AB182" s="55">
        <f t="shared" si="93"/>
        <v>1100</v>
      </c>
      <c r="AC182" s="55">
        <f t="shared" si="93"/>
        <v>5500</v>
      </c>
    </row>
    <row r="183" spans="1:45" ht="28.8">
      <c r="A183" s="25">
        <v>8</v>
      </c>
      <c r="B183" s="26">
        <v>46203</v>
      </c>
      <c r="C183" s="27" t="s">
        <v>117</v>
      </c>
      <c r="D183" s="25"/>
      <c r="F183" s="44" t="s">
        <v>35</v>
      </c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20"/>
      <c r="X183" s="20"/>
      <c r="Y183" s="20"/>
      <c r="Z183" s="20"/>
      <c r="AA183" s="20"/>
      <c r="AB183" s="20"/>
      <c r="AC183" s="20"/>
    </row>
    <row r="184" spans="1:45">
      <c r="A184" s="25">
        <v>9</v>
      </c>
      <c r="B184" s="26">
        <v>46203</v>
      </c>
      <c r="C184" s="27" t="s">
        <v>118</v>
      </c>
      <c r="D184" s="25"/>
      <c r="F184" s="46" t="s">
        <v>87</v>
      </c>
      <c r="G184" s="54">
        <f t="shared" ref="G184" si="94">(G183-G182)</f>
        <v>0</v>
      </c>
      <c r="H184" s="54">
        <f>(H183-H182)</f>
        <v>0</v>
      </c>
      <c r="I184" s="54">
        <f t="shared" ref="I184:L184" si="95">(I183-I182)</f>
        <v>0</v>
      </c>
      <c r="J184" s="54">
        <f t="shared" si="95"/>
        <v>0</v>
      </c>
      <c r="K184" s="54">
        <f t="shared" si="95"/>
        <v>0</v>
      </c>
      <c r="L184" s="54">
        <f t="shared" si="95"/>
        <v>0</v>
      </c>
      <c r="M184" s="54"/>
      <c r="N184" s="54"/>
      <c r="O184" s="54">
        <f>(O183-O182)</f>
        <v>0</v>
      </c>
      <c r="P184" s="54">
        <f>(P183-P182)</f>
        <v>0</v>
      </c>
      <c r="Q184" s="54">
        <f t="shared" ref="Q184:R184" si="96">(Q183-Q182)</f>
        <v>0</v>
      </c>
      <c r="R184" s="54">
        <f t="shared" si="96"/>
        <v>0</v>
      </c>
      <c r="S184" s="54">
        <f>(S183-S182)</f>
        <v>0</v>
      </c>
      <c r="T184" s="54">
        <f t="shared" ref="T184:U184" si="97">(T183-T182)</f>
        <v>0</v>
      </c>
      <c r="U184" s="54">
        <f t="shared" si="97"/>
        <v>0</v>
      </c>
      <c r="V184" s="54">
        <f>(V183-V182)</f>
        <v>0</v>
      </c>
      <c r="W184" s="31"/>
      <c r="X184" s="31"/>
      <c r="Y184" s="31"/>
      <c r="Z184" s="31"/>
      <c r="AA184" s="31"/>
      <c r="AB184" s="31"/>
      <c r="AC184" s="31"/>
    </row>
    <row r="185" spans="1:45" ht="28.8">
      <c r="A185" s="25">
        <v>10</v>
      </c>
      <c r="B185" s="26">
        <v>46203</v>
      </c>
      <c r="C185" s="27" t="s">
        <v>162</v>
      </c>
      <c r="D185" s="25"/>
      <c r="F185" s="7" t="s">
        <v>4</v>
      </c>
      <c r="G185" s="7" t="s">
        <v>38</v>
      </c>
      <c r="H185" s="8" t="s">
        <v>158</v>
      </c>
      <c r="I185" s="8" t="s">
        <v>145</v>
      </c>
      <c r="J185" s="8" t="s">
        <v>160</v>
      </c>
      <c r="K185" s="8" t="s">
        <v>144</v>
      </c>
      <c r="L185" s="32" t="s">
        <v>147</v>
      </c>
      <c r="M185" s="32" t="s">
        <v>131</v>
      </c>
      <c r="N185" s="29" t="s">
        <v>45</v>
      </c>
      <c r="O185" s="29" t="s">
        <v>46</v>
      </c>
      <c r="P185" s="29" t="s">
        <v>117</v>
      </c>
      <c r="Q185" s="29" t="s">
        <v>118</v>
      </c>
      <c r="R185" s="30" t="s">
        <v>50</v>
      </c>
      <c r="S185" s="32" t="s">
        <v>51</v>
      </c>
      <c r="T185" s="32"/>
      <c r="U185" s="32"/>
      <c r="V185" s="32"/>
      <c r="W185" s="32"/>
      <c r="X185" s="33"/>
      <c r="Y185" s="33"/>
      <c r="Z185" s="33"/>
      <c r="AA185" s="33"/>
      <c r="AB185" s="33"/>
      <c r="AC185" s="33"/>
    </row>
    <row r="186" spans="1:45">
      <c r="A186" s="25">
        <v>11</v>
      </c>
      <c r="B186" s="26">
        <v>46203</v>
      </c>
      <c r="C186" s="27" t="s">
        <v>163</v>
      </c>
      <c r="D186" s="25"/>
      <c r="F186" s="14" t="s">
        <v>3</v>
      </c>
      <c r="G186" s="19">
        <v>46249</v>
      </c>
      <c r="H186" s="19">
        <v>46249</v>
      </c>
      <c r="I186" s="19">
        <v>46249</v>
      </c>
      <c r="J186" s="19">
        <v>46249</v>
      </c>
      <c r="K186" s="19">
        <v>46249</v>
      </c>
      <c r="L186" s="19">
        <v>46249</v>
      </c>
      <c r="M186" s="19">
        <v>46249</v>
      </c>
      <c r="N186" s="19">
        <v>46249</v>
      </c>
      <c r="O186" s="19">
        <v>46249</v>
      </c>
      <c r="P186" s="19">
        <v>46249</v>
      </c>
      <c r="Q186" s="19">
        <v>46249</v>
      </c>
      <c r="R186" s="19">
        <v>46249</v>
      </c>
      <c r="S186" s="19">
        <v>46249</v>
      </c>
      <c r="T186" s="19">
        <v>46249</v>
      </c>
      <c r="U186" s="19">
        <v>46249</v>
      </c>
      <c r="V186" s="19">
        <v>46249</v>
      </c>
      <c r="W186" s="19">
        <v>46249</v>
      </c>
      <c r="X186" s="34"/>
      <c r="Y186" s="34"/>
      <c r="Z186" s="34"/>
      <c r="AA186" s="34"/>
      <c r="AB186" s="34"/>
      <c r="AC186" s="34"/>
    </row>
    <row r="187" spans="1:45" ht="15" thickBot="1">
      <c r="A187" s="25">
        <v>12</v>
      </c>
      <c r="B187" s="26">
        <v>46203</v>
      </c>
      <c r="C187" s="27" t="s">
        <v>131</v>
      </c>
      <c r="D187" s="25"/>
      <c r="F187" s="49" t="s">
        <v>59</v>
      </c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20"/>
      <c r="Y187" s="20"/>
      <c r="Z187" s="20"/>
      <c r="AA187" s="20"/>
      <c r="AB187" s="20"/>
      <c r="AC187" s="20"/>
    </row>
    <row r="188" spans="1:45" ht="43.8" thickBot="1">
      <c r="A188" s="25">
        <v>13</v>
      </c>
      <c r="B188" s="26">
        <v>46203</v>
      </c>
      <c r="C188" s="27" t="s">
        <v>147</v>
      </c>
      <c r="D188" s="25"/>
      <c r="F188" s="57" t="s">
        <v>84</v>
      </c>
      <c r="G188" s="58">
        <f>SUM(G183:V183)</f>
        <v>0</v>
      </c>
      <c r="I188" s="59" t="s">
        <v>33</v>
      </c>
      <c r="J188" s="60" t="b">
        <f>C177=SUM(G182:V182)-AE186</f>
        <v>0</v>
      </c>
      <c r="L188" s="67" t="s">
        <v>77</v>
      </c>
      <c r="M188" s="68">
        <f>(G188-J188)</f>
        <v>0</v>
      </c>
      <c r="O188" s="61" t="s">
        <v>95</v>
      </c>
      <c r="P188" s="62">
        <f>SUM(G187:W187)</f>
        <v>0</v>
      </c>
      <c r="Q188" s="20"/>
      <c r="R188" s="63" t="s">
        <v>85</v>
      </c>
      <c r="S188" s="64">
        <f>SUM(X182:AA182)</f>
        <v>27000</v>
      </c>
      <c r="T188" s="35"/>
      <c r="U188" s="20"/>
    </row>
    <row r="189" spans="1:45">
      <c r="A189" s="25">
        <v>14</v>
      </c>
      <c r="B189" s="26">
        <v>46203</v>
      </c>
      <c r="C189" s="27"/>
      <c r="D189" s="25"/>
    </row>
    <row r="190" spans="1:45">
      <c r="A190" s="25">
        <v>15</v>
      </c>
      <c r="B190" s="26">
        <v>46203</v>
      </c>
      <c r="C190" s="27"/>
      <c r="D190" s="25"/>
    </row>
    <row r="191" spans="1:45">
      <c r="A191" s="25">
        <v>16</v>
      </c>
      <c r="B191" s="26">
        <v>46203</v>
      </c>
      <c r="C191" s="27"/>
      <c r="D191" s="25"/>
    </row>
  </sheetData>
  <mergeCells count="73">
    <mergeCell ref="AE103:AS103"/>
    <mergeCell ref="AE120:AS120"/>
    <mergeCell ref="AE37:AS37"/>
    <mergeCell ref="AE54:AS54"/>
    <mergeCell ref="AE69:AS69"/>
    <mergeCell ref="AE87:AS87"/>
    <mergeCell ref="A103:D103"/>
    <mergeCell ref="E103:H103"/>
    <mergeCell ref="I103:L103"/>
    <mergeCell ref="M103:P103"/>
    <mergeCell ref="Q103:T103"/>
    <mergeCell ref="A37:D37"/>
    <mergeCell ref="E37:H37"/>
    <mergeCell ref="I37:L37"/>
    <mergeCell ref="M37:P37"/>
    <mergeCell ref="Q37:T37"/>
    <mergeCell ref="A54:D54"/>
    <mergeCell ref="E54:H54"/>
    <mergeCell ref="I54:L54"/>
    <mergeCell ref="M54:P54"/>
    <mergeCell ref="Q54:T54"/>
    <mergeCell ref="A2:D2"/>
    <mergeCell ref="E2:H2"/>
    <mergeCell ref="I2:L2"/>
    <mergeCell ref="M2:P2"/>
    <mergeCell ref="Q2:T2"/>
    <mergeCell ref="A21:D21"/>
    <mergeCell ref="E21:H21"/>
    <mergeCell ref="I21:L21"/>
    <mergeCell ref="M21:P21"/>
    <mergeCell ref="Q21:T21"/>
    <mergeCell ref="A87:D87"/>
    <mergeCell ref="E87:H87"/>
    <mergeCell ref="I87:L87"/>
    <mergeCell ref="M87:P87"/>
    <mergeCell ref="Q87:T87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A139:AB139"/>
    <mergeCell ref="AE139:AS139"/>
    <mergeCell ref="A139:D139"/>
    <mergeCell ref="E139:H139"/>
    <mergeCell ref="I139:L139"/>
    <mergeCell ref="M139:P139"/>
    <mergeCell ref="Q139:T139"/>
    <mergeCell ref="E158:H158"/>
    <mergeCell ref="A158:D158"/>
    <mergeCell ref="AE158:AS158"/>
    <mergeCell ref="AA158:AB158"/>
    <mergeCell ref="Q158:T158"/>
    <mergeCell ref="M158:P158"/>
    <mergeCell ref="I158:L158"/>
    <mergeCell ref="AA174:AB174"/>
    <mergeCell ref="AE174:AS174"/>
    <mergeCell ref="A174:D174"/>
    <mergeCell ref="E174:H174"/>
    <mergeCell ref="I174:L174"/>
    <mergeCell ref="M174:P174"/>
    <mergeCell ref="Q174:T174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26" sqref="A26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74E80-6378-4CDD-8F7F-9B3482111B9B}">
  <dimension ref="B3:C12"/>
  <sheetViews>
    <sheetView workbookViewId="0">
      <selection activeCell="D17" sqref="D17"/>
    </sheetView>
  </sheetViews>
  <sheetFormatPr defaultRowHeight="14.4"/>
  <cols>
    <col min="2" max="2" width="23.33203125" bestFit="1" customWidth="1"/>
  </cols>
  <sheetData>
    <row r="3" spans="2:3">
      <c r="B3" t="s">
        <v>155</v>
      </c>
      <c r="C3">
        <v>45000</v>
      </c>
    </row>
    <row r="4" spans="2:3">
      <c r="B4" t="s">
        <v>166</v>
      </c>
      <c r="C4">
        <v>10800</v>
      </c>
    </row>
    <row r="5" spans="2:3">
      <c r="B5" t="s">
        <v>112</v>
      </c>
      <c r="C5">
        <v>12555</v>
      </c>
    </row>
    <row r="6" spans="2:3">
      <c r="B6" t="s">
        <v>143</v>
      </c>
      <c r="C6">
        <v>13500</v>
      </c>
    </row>
    <row r="7" spans="2:3">
      <c r="B7" t="s">
        <v>156</v>
      </c>
      <c r="C7">
        <v>48500</v>
      </c>
    </row>
    <row r="8" spans="2:3">
      <c r="B8" t="s">
        <v>149</v>
      </c>
      <c r="C8">
        <v>18000</v>
      </c>
    </row>
    <row r="9" spans="2:3">
      <c r="B9" t="s">
        <v>154</v>
      </c>
      <c r="C9">
        <v>50976</v>
      </c>
    </row>
    <row r="10" spans="2:3">
      <c r="B10" t="s">
        <v>173</v>
      </c>
      <c r="C10">
        <v>18880</v>
      </c>
    </row>
    <row r="11" spans="2:3">
      <c r="B11" t="s">
        <v>166</v>
      </c>
      <c r="C11">
        <v>5900</v>
      </c>
    </row>
    <row r="12" spans="2:3">
      <c r="B12" t="s">
        <v>174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</cols>
  <sheetData>
    <row r="1" spans="1:2">
      <c r="A1" s="1" t="s">
        <v>79</v>
      </c>
      <c r="B1" s="1" t="s">
        <v>80</v>
      </c>
    </row>
    <row r="2" spans="1:2">
      <c r="A2" s="2">
        <v>45976</v>
      </c>
      <c r="B2" s="3">
        <v>2000</v>
      </c>
    </row>
    <row r="3" spans="1:2">
      <c r="A3" s="2">
        <v>46039</v>
      </c>
      <c r="B3" s="3">
        <v>2000</v>
      </c>
    </row>
    <row r="4" spans="1:2">
      <c r="A4" s="2">
        <v>46039</v>
      </c>
      <c r="B4" s="3">
        <v>2000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BD5F-5FC8-4604-BC5A-7F98636B3F60}">
  <dimension ref="C3:D17"/>
  <sheetViews>
    <sheetView workbookViewId="0">
      <selection activeCell="G13" sqref="G13"/>
    </sheetView>
  </sheetViews>
  <sheetFormatPr defaultRowHeight="14.4"/>
  <cols>
    <col min="3" max="3" width="23.33203125" bestFit="1" customWidth="1"/>
    <col min="4" max="4" width="7" bestFit="1" customWidth="1"/>
  </cols>
  <sheetData>
    <row r="3" spans="3:4">
      <c r="C3" t="s">
        <v>155</v>
      </c>
      <c r="D3">
        <v>45000</v>
      </c>
    </row>
    <row r="4" spans="3:4">
      <c r="C4" t="s">
        <v>166</v>
      </c>
      <c r="D4">
        <v>10800</v>
      </c>
    </row>
    <row r="5" spans="3:4">
      <c r="C5" t="s">
        <v>112</v>
      </c>
      <c r="D5">
        <v>12555</v>
      </c>
    </row>
    <row r="6" spans="3:4">
      <c r="C6" t="s">
        <v>143</v>
      </c>
      <c r="D6">
        <v>13500</v>
      </c>
    </row>
    <row r="7" spans="3:4">
      <c r="C7" t="s">
        <v>156</v>
      </c>
      <c r="D7">
        <v>48500</v>
      </c>
    </row>
    <row r="8" spans="3:4">
      <c r="C8" t="s">
        <v>149</v>
      </c>
      <c r="D8">
        <v>18000</v>
      </c>
    </row>
    <row r="9" spans="3:4">
      <c r="C9" t="s">
        <v>154</v>
      </c>
      <c r="D9">
        <v>50976</v>
      </c>
    </row>
    <row r="10" spans="3:4">
      <c r="C10" t="s">
        <v>165</v>
      </c>
      <c r="D10">
        <v>219100</v>
      </c>
    </row>
    <row r="11" spans="3:4">
      <c r="C11" t="s">
        <v>173</v>
      </c>
      <c r="D11">
        <v>18880</v>
      </c>
    </row>
    <row r="12" spans="3:4">
      <c r="C12" t="s">
        <v>168</v>
      </c>
      <c r="D12">
        <v>298970</v>
      </c>
    </row>
    <row r="13" spans="3:4">
      <c r="C13" t="s">
        <v>169</v>
      </c>
      <c r="D13">
        <v>169250</v>
      </c>
    </row>
    <row r="14" spans="3:4">
      <c r="C14" t="s">
        <v>170</v>
      </c>
      <c r="D14">
        <v>87108</v>
      </c>
    </row>
    <row r="15" spans="3:4">
      <c r="C15" t="s">
        <v>171</v>
      </c>
      <c r="D15">
        <v>70800</v>
      </c>
    </row>
    <row r="16" spans="3:4">
      <c r="C16" t="s">
        <v>172</v>
      </c>
      <c r="D16">
        <v>107500</v>
      </c>
    </row>
    <row r="17" spans="3:4">
      <c r="C17" t="s">
        <v>166</v>
      </c>
      <c r="D17">
        <v>5900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2026-07-21T11:24:18Z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