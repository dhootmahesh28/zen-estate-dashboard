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11 - Copy\"/>
    </mc:Choice>
  </mc:AlternateContent>
  <xr:revisionPtr revIDLastSave="0" documentId="13_ncr:1_{84B7D9DF-8A37-4702-A459-614AA38048C1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6" i="1" l="1"/>
  <c r="G206" i="1"/>
  <c r="M206" i="1" s="1"/>
  <c r="J206" i="1"/>
  <c r="J188" i="1"/>
  <c r="L194" i="1"/>
  <c r="L200" i="1" s="1"/>
  <c r="G200" i="1"/>
  <c r="P200" i="1"/>
  <c r="Q200" i="1"/>
  <c r="R200" i="1"/>
  <c r="S200" i="1"/>
  <c r="T200" i="1"/>
  <c r="U200" i="1"/>
  <c r="V200" i="1"/>
  <c r="O200" i="1"/>
  <c r="I200" i="1"/>
  <c r="J200" i="1"/>
  <c r="K200" i="1"/>
  <c r="H200" i="1"/>
  <c r="P188" i="1"/>
  <c r="P172" i="1"/>
  <c r="P153" i="1"/>
  <c r="P134" i="1"/>
  <c r="P117" i="1"/>
  <c r="P101" i="1"/>
  <c r="P83" i="1"/>
  <c r="P68" i="1"/>
  <c r="P51" i="1"/>
  <c r="P35" i="1"/>
  <c r="P15" i="1"/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S206" i="1" l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G188" i="1" l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G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J8" i="1"/>
  <c r="AR8" i="1"/>
  <c r="AI8" i="1"/>
  <c r="AS8" i="1"/>
  <c r="AN8" i="1"/>
  <c r="AM8" i="1"/>
  <c r="AP8" i="1"/>
  <c r="AH8" i="1"/>
  <c r="AQ8" i="1"/>
  <c r="AL8" i="1"/>
  <c r="AK8" i="1"/>
  <c r="AG8" i="1"/>
  <c r="AF8" i="1"/>
  <c r="AE8" i="1"/>
  <c r="J15" i="1"/>
  <c r="M15" i="1"/>
  <c r="AO8" i="1"/>
</calcChain>
</file>

<file path=xl/sharedStrings.xml><?xml version="1.0" encoding="utf-8"?>
<sst xmlns="http://schemas.openxmlformats.org/spreadsheetml/2006/main" count="1321" uniqueCount="201">
  <si>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</si>
  <si>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</si>
  <si>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</si>
  <si>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</si>
  <si>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</si>
  <si>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</si>
  <si>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</si>
  <si>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</si>
  <si>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</si>
  <si>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</si>
  <si>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</si>
  <si>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</si>
  <si>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</si>
  <si>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</si>
  <si>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</si>
  <si>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</si>
  <si>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</si>
  <si>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</si>
  <si>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</si>
  <si>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</si>
  <si>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</si>
  <si>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</si>
  <si>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</si>
  <si>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</si>
  <si>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</si>
  <si>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</si>
  <si>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</si>
  <si>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</si>
  <si>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</si>
  <si>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</si>
  <si>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</si>
  <si>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</si>
  <si>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</si>
  <si>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</si>
  <si>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</si>
  <si>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</si>
  <si>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</si>
  <si>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</si>
  <si>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</si>
  <si>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</si>
  <si>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</si>
  <si>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</si>
  <si>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</si>
  <si>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</si>
  <si>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</si>
  <si>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</si>
  <si>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</si>
  <si>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</si>
  <si>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</si>
  <si>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</si>
  <si>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</si>
  <si>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</si>
  <si>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</si>
  <si>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</si>
  <si>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</si>
  <si>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</si>
  <si>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</si>
  <si>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</si>
  <si>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</si>
  <si>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</si>
  <si>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</si>
  <si>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</si>
  <si>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</si>
  <si>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</si>
  <si>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</si>
  <si>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</si>
  <si>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</si>
  <si>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</si>
  <si>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</si>
  <si>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</si>
  <si>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</si>
  <si>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</si>
  <si>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</si>
  <si>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</si>
  <si>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</si>
  <si>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</si>
  <si>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</si>
  <si>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</si>
  <si>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</si>
  <si>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</si>
  <si>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</si>
  <si>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</si>
  <si>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</si>
  <si>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</si>
  <si>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</si>
  <si>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</si>
  <si>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</si>
  <si>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</si>
  <si>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</si>
  <si>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</si>
  <si>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</si>
  <si>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</si>
  <si>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</si>
  <si>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</si>
  <si>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</si>
  <si>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</si>
  <si>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</si>
  <si>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</si>
  <si>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</si>
  <si>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</si>
  <si>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</si>
  <si>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</si>
  <si>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</si>
  <si>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</si>
  <si>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</si>
  <si>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</si>
  <si>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</si>
  <si>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</si>
  <si>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</si>
  <si>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</si>
  <si>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</si>
  <si>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</si>
  <si>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</si>
  <si>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</si>
  <si>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</si>
  <si>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</si>
  <si>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</si>
  <si>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</si>
  <si>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</si>
  <si>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</si>
  <si>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</si>
  <si>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</si>
  <si>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</si>
  <si>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</si>
  <si>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</si>
  <si>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</si>
  <si>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</si>
  <si>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</si>
  <si>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</si>
  <si>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</si>
  <si>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</si>
  <si>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</si>
  <si>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</si>
  <si>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</si>
  <si>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</si>
  <si>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</si>
  <si>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</si>
  <si>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</si>
  <si>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</si>
  <si>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</si>
  <si>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</si>
  <si>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</si>
  <si>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</si>
  <si>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</si>
  <si>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</si>
  <si>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</si>
  <si>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</si>
  <si>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</si>
  <si>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</si>
  <si>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</si>
  <si>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</si>
  <si>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</si>
  <si>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</si>
  <si>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</si>
  <si>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</si>
  <si>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</si>
  <si>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</si>
  <si>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</si>
  <si>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</si>
  <si>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</si>
  <si>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</si>
  <si>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</si>
  <si>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</si>
  <si>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</si>
  <si>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</si>
  <si>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</si>
  <si>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</si>
  <si>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</si>
  <si>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</si>
  <si>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</si>
  <si>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</si>
  <si>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</si>
  <si>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</si>
  <si>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</si>
  <si>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</si>
  <si>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</si>
  <si>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</si>
  <si>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</si>
  <si>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</si>
  <si>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</si>
  <si>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</si>
  <si>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</si>
  <si>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FM Team Uniform</t>
  </si>
  <si>
    <t xml:space="preserve">FM Team Uniform </t>
  </si>
  <si>
    <t>4 AC Servicing and Gas Refill</t>
  </si>
  <si>
    <t>Gym Glass Door Granite Replacemnt</t>
  </si>
  <si>
    <t>FD</t>
  </si>
  <si>
    <t>Diesel Re-filling</t>
  </si>
  <si>
    <t>STP Global Enviro 1st Installment</t>
  </si>
  <si>
    <t>STP Global Enviro 2nd Installment</t>
  </si>
  <si>
    <t xml:space="preserve">STP Carbon Filter </t>
  </si>
  <si>
    <t>STP Effluent Transfer Pump</t>
  </si>
  <si>
    <t>STP Sludge Transfer Pump</t>
  </si>
  <si>
    <t>15th Aug refreshment &amp; decoration</t>
  </si>
  <si>
    <t>Nursary tree plantation</t>
  </si>
  <si>
    <t>Media Cleaning</t>
  </si>
  <si>
    <t>100 Chairs</t>
  </si>
  <si>
    <t>Wardrobe for office</t>
  </si>
  <si>
    <t>garden Pipe for watering</t>
  </si>
  <si>
    <t>Club house panel lights</t>
  </si>
  <si>
    <t>100 mtr Polycab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</si>
</sst>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opLeftCell="J172" zoomScale="55" zoomScaleNormal="55" workbookViewId="0">
      <selection activeCell="P207" sqref="P207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1" t="s">
        <v>65</v>
      </c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1" t="s">
        <v>69</v>
      </c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0"/>
      <c r="V37" s="10"/>
      <c r="W37" s="10"/>
      <c r="X37" s="82"/>
      <c r="Y37" s="82"/>
      <c r="Z37" s="83"/>
      <c r="AA37" s="34"/>
      <c r="AB37" s="34"/>
      <c r="AC37" s="34"/>
      <c r="AE37" s="119" t="s">
        <v>83</v>
      </c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1" t="s">
        <v>76</v>
      </c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0"/>
      <c r="V54" s="10"/>
      <c r="W54" s="10"/>
      <c r="X54" s="82"/>
      <c r="Y54" s="82"/>
      <c r="Z54" s="83"/>
      <c r="AE54" s="119" t="s">
        <v>83</v>
      </c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1" t="s">
        <v>104</v>
      </c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0"/>
      <c r="V69" s="10"/>
      <c r="W69" s="10"/>
      <c r="X69" s="10"/>
      <c r="Y69" s="10"/>
      <c r="Z69" s="10"/>
      <c r="AA69" s="117"/>
      <c r="AB69" s="118"/>
      <c r="AC69" s="103"/>
      <c r="AE69" s="119" t="s">
        <v>83</v>
      </c>
      <c r="AF69" s="120"/>
      <c r="AG69" s="120"/>
      <c r="AH69" s="120"/>
      <c r="AI69" s="120"/>
      <c r="AJ69" s="120"/>
      <c r="AK69" s="120"/>
      <c r="AL69" s="120"/>
      <c r="AM69" s="120"/>
      <c r="AN69" s="120"/>
      <c r="AO69" s="120"/>
      <c r="AP69" s="120"/>
      <c r="AQ69" s="120"/>
      <c r="AR69" s="120"/>
      <c r="AS69" s="120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1" t="s">
        <v>109</v>
      </c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0"/>
      <c r="V87" s="10"/>
      <c r="W87" s="10"/>
      <c r="X87" s="10"/>
      <c r="Y87" s="10"/>
      <c r="Z87" s="10"/>
      <c r="AA87" s="117"/>
      <c r="AB87" s="118"/>
      <c r="AC87" s="103"/>
      <c r="AE87" s="119" t="s">
        <v>83</v>
      </c>
      <c r="AF87" s="120"/>
      <c r="AG87" s="120"/>
      <c r="AH87" s="120"/>
      <c r="AI87" s="120"/>
      <c r="AJ87" s="120"/>
      <c r="AK87" s="120"/>
      <c r="AL87" s="120"/>
      <c r="AM87" s="120"/>
      <c r="AN87" s="120"/>
      <c r="AO87" s="120"/>
      <c r="AP87" s="120"/>
      <c r="AQ87" s="120"/>
      <c r="AR87" s="120"/>
      <c r="AS87" s="120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1" t="s">
        <v>113</v>
      </c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0"/>
      <c r="V103" s="10"/>
      <c r="W103" s="10"/>
      <c r="X103" s="10"/>
      <c r="Y103" s="10"/>
      <c r="Z103" s="10"/>
      <c r="AA103" s="117"/>
      <c r="AB103" s="118"/>
      <c r="AC103" s="103"/>
      <c r="AE103" s="119" t="s">
        <v>83</v>
      </c>
      <c r="AF103" s="120"/>
      <c r="AG103" s="120"/>
      <c r="AH103" s="120"/>
      <c r="AI103" s="120"/>
      <c r="AJ103" s="120"/>
      <c r="AK103" s="120"/>
      <c r="AL103" s="120"/>
      <c r="AM103" s="120"/>
      <c r="AN103" s="120"/>
      <c r="AO103" s="120"/>
      <c r="AP103" s="120"/>
      <c r="AQ103" s="120"/>
      <c r="AR103" s="120"/>
      <c r="AS103" s="120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1" t="s">
        <v>123</v>
      </c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0"/>
      <c r="V120" s="10"/>
      <c r="W120" s="10"/>
      <c r="X120" s="10"/>
      <c r="Y120" s="10"/>
      <c r="Z120" s="10"/>
      <c r="AA120" s="117"/>
      <c r="AB120" s="118"/>
      <c r="AC120" s="103"/>
      <c r="AE120" s="119" t="s">
        <v>83</v>
      </c>
      <c r="AF120" s="120"/>
      <c r="AG120" s="120"/>
      <c r="AH120" s="120"/>
      <c r="AI120" s="120"/>
      <c r="AJ120" s="120"/>
      <c r="AK120" s="120"/>
      <c r="AL120" s="120"/>
      <c r="AM120" s="120"/>
      <c r="AN120" s="120"/>
      <c r="AO120" s="120"/>
      <c r="AP120" s="120"/>
      <c r="AQ120" s="120"/>
      <c r="AR120" s="120"/>
      <c r="AS120" s="120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113" t="s">
        <v>187</v>
      </c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111">
        <v>46158</v>
      </c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112">
        <v>23163</v>
      </c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SUM(G133:X133)</f>
        <v>2242242.98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1" t="s">
        <v>140</v>
      </c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0"/>
      <c r="V139" s="10"/>
      <c r="W139" s="10"/>
      <c r="X139" s="10"/>
      <c r="Y139" s="10"/>
      <c r="Z139" s="10"/>
      <c r="AA139" s="117"/>
      <c r="AB139" s="118"/>
      <c r="AC139" s="103"/>
      <c r="AE139" s="119" t="s">
        <v>83</v>
      </c>
      <c r="AF139" s="120"/>
      <c r="AG139" s="120"/>
      <c r="AH139" s="120"/>
      <c r="AI139" s="120"/>
      <c r="AJ139" s="120"/>
      <c r="AK139" s="120"/>
      <c r="AL139" s="120"/>
      <c r="AM139" s="120"/>
      <c r="AN139" s="120"/>
      <c r="AO139" s="120"/>
      <c r="AP139" s="120"/>
      <c r="AQ139" s="120"/>
      <c r="AR139" s="120"/>
      <c r="AS139" s="120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46188</v>
      </c>
      <c r="AB151" s="111">
        <v>46188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SUM(G152:AB152)</f>
        <v>2810825.98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1" t="s">
        <v>150</v>
      </c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0"/>
      <c r="V158" s="10"/>
      <c r="W158" s="10"/>
      <c r="X158" s="10"/>
      <c r="Y158" s="10"/>
      <c r="Z158" s="10"/>
      <c r="AA158" s="117"/>
      <c r="AB158" s="118"/>
      <c r="AC158" s="103"/>
      <c r="AE158" s="119" t="s">
        <v>83</v>
      </c>
      <c r="AF158" s="120"/>
      <c r="AG158" s="120"/>
      <c r="AH158" s="120"/>
      <c r="AI158" s="120"/>
      <c r="AJ158" s="120"/>
      <c r="AK158" s="120"/>
      <c r="AL158" s="120"/>
      <c r="AM158" s="120"/>
      <c r="AN158" s="120"/>
      <c r="AO158" s="120"/>
      <c r="AP158" s="120"/>
      <c r="AQ158" s="120"/>
      <c r="AR158" s="120"/>
      <c r="AS158" s="120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192</v>
      </c>
      <c r="X169" s="113" t="s">
        <v>191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SUM(G171:Y171)</f>
        <v>2706466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1" t="s">
        <v>161</v>
      </c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0"/>
      <c r="V174" s="10"/>
      <c r="W174" s="10"/>
      <c r="X174" s="10"/>
      <c r="Y174" s="10"/>
      <c r="Z174" s="10"/>
      <c r="AA174" s="117"/>
      <c r="AB174" s="118"/>
      <c r="AC174" s="103"/>
      <c r="AE174" s="119" t="s">
        <v>83</v>
      </c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0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182</v>
      </c>
      <c r="Y185" s="113" t="s">
        <v>187</v>
      </c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111">
        <v>46249</v>
      </c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112">
        <v>15540</v>
      </c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SUM(G187:Y187)</f>
        <v>2190687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21" t="s">
        <v>175</v>
      </c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0"/>
      <c r="V192" s="10"/>
      <c r="W192" s="10"/>
      <c r="X192" s="10"/>
      <c r="Y192" s="10"/>
      <c r="Z192" s="10"/>
      <c r="AA192" s="117"/>
      <c r="AB192" s="118"/>
      <c r="AC192" s="103"/>
      <c r="AE192" s="119" t="s">
        <v>83</v>
      </c>
      <c r="AF192" s="120"/>
      <c r="AG192" s="120"/>
      <c r="AH192" s="120"/>
      <c r="AI192" s="120"/>
      <c r="AJ192" s="120"/>
      <c r="AK192" s="120"/>
      <c r="AL192" s="120"/>
      <c r="AM192" s="120"/>
      <c r="AN192" s="120"/>
      <c r="AO192" s="120"/>
      <c r="AP192" s="120"/>
      <c r="AQ192" s="120"/>
      <c r="AR192" s="120"/>
      <c r="AS192" s="120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>
        <v>100000</v>
      </c>
      <c r="F194" s="14" t="s">
        <v>27</v>
      </c>
      <c r="G194" s="14">
        <v>213425</v>
      </c>
      <c r="H194" s="15">
        <v>19121</v>
      </c>
      <c r="I194" s="14">
        <v>204724</v>
      </c>
      <c r="J194" s="15">
        <v>16388</v>
      </c>
      <c r="K194" s="14">
        <v>204013</v>
      </c>
      <c r="L194" s="14">
        <f>SUM(M194:N194)</f>
        <v>16388</v>
      </c>
      <c r="M194" s="14">
        <v>13657</v>
      </c>
      <c r="N194" s="15">
        <v>2731</v>
      </c>
      <c r="O194" s="14">
        <v>186466</v>
      </c>
      <c r="P194" s="14">
        <v>16388.07</v>
      </c>
      <c r="Q194" s="14">
        <v>309604</v>
      </c>
      <c r="R194" s="14">
        <v>21852.5</v>
      </c>
      <c r="S194" s="14"/>
      <c r="T194" s="14">
        <v>214017.13</v>
      </c>
      <c r="U194" s="14">
        <v>205207</v>
      </c>
      <c r="V194" s="14">
        <v>99304</v>
      </c>
      <c r="W194" s="76">
        <v>19121</v>
      </c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>
        <v>446560</v>
      </c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>
        <v>16388</v>
      </c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>
        <v>249900</v>
      </c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>
        <v>2731</v>
      </c>
      <c r="X196" s="78"/>
      <c r="Y196" s="93"/>
      <c r="Z196" s="14">
        <v>6000</v>
      </c>
      <c r="AA196" s="79"/>
      <c r="AB196" s="79"/>
      <c r="AC196" s="79">
        <v>2000</v>
      </c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>
        <v>272999</v>
      </c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>
        <v>77100</v>
      </c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>
        <v>10149</v>
      </c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>
        <v>21800</v>
      </c>
      <c r="F200" s="40" t="s">
        <v>33</v>
      </c>
      <c r="G200" s="6">
        <f>SUM(G194:G199)</f>
        <v>213425</v>
      </c>
      <c r="H200" s="6">
        <f>SUM(H194:H199)</f>
        <v>19121</v>
      </c>
      <c r="I200" s="6">
        <f t="shared" ref="I200:L200" si="101">SUM(I194:I199)</f>
        <v>204724</v>
      </c>
      <c r="J200" s="6">
        <f t="shared" si="101"/>
        <v>16388</v>
      </c>
      <c r="K200" s="6">
        <f t="shared" si="101"/>
        <v>204013</v>
      </c>
      <c r="L200" s="6">
        <f t="shared" si="101"/>
        <v>16388</v>
      </c>
      <c r="M200" s="6"/>
      <c r="N200" s="6"/>
      <c r="O200" s="6">
        <f>SUM(O194:O199)</f>
        <v>186466</v>
      </c>
      <c r="P200" s="6">
        <f t="shared" ref="P200:V200" si="102">SUM(P194:P199)</f>
        <v>16388.07</v>
      </c>
      <c r="Q200" s="6">
        <f t="shared" si="102"/>
        <v>309604</v>
      </c>
      <c r="R200" s="6">
        <f t="shared" si="102"/>
        <v>21852.5</v>
      </c>
      <c r="S200" s="6">
        <f t="shared" si="102"/>
        <v>0</v>
      </c>
      <c r="T200" s="6">
        <f t="shared" si="102"/>
        <v>214017.13</v>
      </c>
      <c r="U200" s="6">
        <f t="shared" si="102"/>
        <v>205207</v>
      </c>
      <c r="V200" s="6">
        <f t="shared" si="102"/>
        <v>99304</v>
      </c>
      <c r="W200" s="6">
        <f>SUM(W194:W199)</f>
        <v>38240</v>
      </c>
      <c r="X200" s="55">
        <f t="shared" ref="X200:AC200" si="103">SUM(X194:X199)</f>
        <v>0</v>
      </c>
      <c r="Y200" s="55">
        <f t="shared" si="103"/>
        <v>8000</v>
      </c>
      <c r="Z200" s="55">
        <f t="shared" si="103"/>
        <v>27000</v>
      </c>
      <c r="AA200" s="55">
        <f t="shared" si="103"/>
        <v>0</v>
      </c>
      <c r="AB200" s="55">
        <f t="shared" si="103"/>
        <v>0</v>
      </c>
      <c r="AC200" s="55">
        <f t="shared" si="103"/>
        <v>6500</v>
      </c>
    </row>
    <row r="201" spans="1:45" ht="28.8">
      <c r="A201" s="25">
        <v>8</v>
      </c>
      <c r="B201" s="26">
        <v>46203</v>
      </c>
      <c r="C201" s="27" t="s">
        <v>117</v>
      </c>
      <c r="D201" s="25">
        <v>30000</v>
      </c>
      <c r="F201" s="44" t="s">
        <v>35</v>
      </c>
      <c r="G201" s="39">
        <v>213424.77</v>
      </c>
      <c r="H201" s="39">
        <v>19121.25</v>
      </c>
      <c r="I201" s="39">
        <v>204724</v>
      </c>
      <c r="J201" s="39">
        <v>16388.07</v>
      </c>
      <c r="K201" s="39">
        <v>204013</v>
      </c>
      <c r="L201" s="39">
        <v>16388.07</v>
      </c>
      <c r="M201" s="39"/>
      <c r="N201" s="39"/>
      <c r="O201" s="39">
        <v>186466</v>
      </c>
      <c r="P201" s="39">
        <v>16388.07</v>
      </c>
      <c r="Q201" s="39">
        <v>309604.52</v>
      </c>
      <c r="R201" s="39">
        <v>21852.5</v>
      </c>
      <c r="S201" s="39">
        <v>212179.1</v>
      </c>
      <c r="T201" s="39">
        <v>214017.1</v>
      </c>
      <c r="U201" s="39">
        <v>205206.6</v>
      </c>
      <c r="V201" s="39">
        <v>99303.81</v>
      </c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>
        <v>41979</v>
      </c>
      <c r="F202" s="46" t="s">
        <v>87</v>
      </c>
      <c r="G202" s="54">
        <f t="shared" ref="G202" si="104">(G201-G200)</f>
        <v>-0.23000000001047738</v>
      </c>
      <c r="H202" s="54">
        <f>(H201-H200)</f>
        <v>0.25</v>
      </c>
      <c r="I202" s="54">
        <f t="shared" ref="I202:L202" si="105">(I201-I200)</f>
        <v>0</v>
      </c>
      <c r="J202" s="54">
        <f t="shared" si="105"/>
        <v>6.9999999999708962E-2</v>
      </c>
      <c r="K202" s="54">
        <f t="shared" si="105"/>
        <v>0</v>
      </c>
      <c r="L202" s="54">
        <f t="shared" si="105"/>
        <v>6.9999999999708962E-2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6">(Q201-Q200)</f>
        <v>0.52000000001862645</v>
      </c>
      <c r="R202" s="54">
        <f t="shared" si="106"/>
        <v>0</v>
      </c>
      <c r="S202" s="54">
        <f>(S201-S200)</f>
        <v>212179.1</v>
      </c>
      <c r="T202" s="54">
        <f t="shared" ref="T202:U202" si="107">(T201-T200)</f>
        <v>-2.9999999998835847E-2</v>
      </c>
      <c r="U202" s="54">
        <f t="shared" si="107"/>
        <v>-0.39999999999417923</v>
      </c>
      <c r="V202" s="54">
        <f>(V201-V200)</f>
        <v>-0.19000000000232831</v>
      </c>
      <c r="W202" s="31"/>
      <c r="X202" s="31"/>
      <c r="Y202" s="31"/>
      <c r="Z202" s="31"/>
      <c r="AA202" s="31"/>
      <c r="AB202" s="31"/>
      <c r="AC202" s="31"/>
    </row>
    <row r="203" spans="1:45" ht="43.2">
      <c r="A203" s="25">
        <v>10</v>
      </c>
      <c r="B203" s="26">
        <v>46203</v>
      </c>
      <c r="C203" s="27" t="s">
        <v>176</v>
      </c>
      <c r="D203" s="25">
        <v>68570</v>
      </c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 t="s">
        <v>178</v>
      </c>
      <c r="U203" s="113" t="s">
        <v>180</v>
      </c>
      <c r="V203" s="113" t="s">
        <v>184</v>
      </c>
      <c r="W203" s="113" t="s">
        <v>185</v>
      </c>
      <c r="X203" s="113" t="s">
        <v>193</v>
      </c>
      <c r="Y203" s="113" t="s">
        <v>194</v>
      </c>
      <c r="Z203" s="113" t="s">
        <v>195</v>
      </c>
      <c r="AA203" s="113" t="s">
        <v>196</v>
      </c>
      <c r="AB203" s="113" t="s">
        <v>197</v>
      </c>
      <c r="AC203" s="113" t="s">
        <v>200</v>
      </c>
      <c r="AD203" s="113" t="s">
        <v>198</v>
      </c>
      <c r="AE203" s="113" t="s">
        <v>199</v>
      </c>
    </row>
    <row r="204" spans="1:45">
      <c r="A204" s="25">
        <v>11</v>
      </c>
      <c r="B204" s="26">
        <v>46203</v>
      </c>
      <c r="C204" s="27" t="s">
        <v>177</v>
      </c>
      <c r="D204" s="25">
        <v>339330</v>
      </c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11">
        <v>46280</v>
      </c>
      <c r="V204" s="111">
        <v>46280</v>
      </c>
      <c r="W204" s="111">
        <v>46280</v>
      </c>
      <c r="X204" s="111">
        <v>46280</v>
      </c>
      <c r="Y204" s="111">
        <v>46280</v>
      </c>
      <c r="Z204" s="111">
        <v>46280</v>
      </c>
      <c r="AA204" s="111">
        <v>46280</v>
      </c>
      <c r="AB204" s="111">
        <v>46280</v>
      </c>
      <c r="AC204" s="111">
        <v>46280</v>
      </c>
      <c r="AD204" s="111">
        <v>46280</v>
      </c>
      <c r="AE204" s="111">
        <v>46280</v>
      </c>
    </row>
    <row r="205" spans="1:45" ht="15" thickBot="1">
      <c r="A205" s="25">
        <v>12</v>
      </c>
      <c r="B205" s="26">
        <v>46203</v>
      </c>
      <c r="C205" s="27" t="s">
        <v>131</v>
      </c>
      <c r="D205" s="25">
        <v>6000</v>
      </c>
      <c r="F205" s="49" t="s">
        <v>59</v>
      </c>
      <c r="G205" s="49">
        <v>249900</v>
      </c>
      <c r="H205" s="49">
        <v>446560</v>
      </c>
      <c r="I205" s="49">
        <v>272999</v>
      </c>
      <c r="J205" s="49">
        <v>77100</v>
      </c>
      <c r="K205" s="49">
        <v>100000</v>
      </c>
      <c r="L205" s="49">
        <v>269937</v>
      </c>
      <c r="M205" s="49">
        <v>6000</v>
      </c>
      <c r="N205" s="49">
        <v>10149</v>
      </c>
      <c r="O205" s="49">
        <v>21800</v>
      </c>
      <c r="P205" s="49">
        <v>30000</v>
      </c>
      <c r="Q205" s="49">
        <v>41979</v>
      </c>
      <c r="R205" s="49">
        <v>339330</v>
      </c>
      <c r="S205" s="49">
        <v>68570</v>
      </c>
      <c r="T205" s="49">
        <v>4750</v>
      </c>
      <c r="U205" s="112">
        <v>11965</v>
      </c>
      <c r="V205" s="112">
        <v>5900</v>
      </c>
      <c r="W205" s="112">
        <v>10000</v>
      </c>
      <c r="X205" s="112">
        <v>28260</v>
      </c>
      <c r="Y205" s="112">
        <v>45000</v>
      </c>
      <c r="Z205" s="112">
        <v>6000</v>
      </c>
      <c r="AA205" s="112">
        <v>43000</v>
      </c>
      <c r="AB205" s="112">
        <v>3000</v>
      </c>
      <c r="AC205" s="112">
        <v>12914</v>
      </c>
      <c r="AD205" s="112">
        <v>1200</v>
      </c>
      <c r="AE205" s="112">
        <v>3190</v>
      </c>
    </row>
    <row r="206" spans="1:45" ht="43.8" thickBot="1">
      <c r="A206" s="25">
        <v>13</v>
      </c>
      <c r="B206" s="26">
        <v>46203</v>
      </c>
      <c r="C206" s="27" t="s">
        <v>147</v>
      </c>
      <c r="D206" s="25">
        <v>269937</v>
      </c>
      <c r="F206" s="57" t="s">
        <v>84</v>
      </c>
      <c r="G206" s="58">
        <f>SUM(G201:V201)</f>
        <v>1939076.8600000003</v>
      </c>
      <c r="I206" s="59" t="s">
        <v>33</v>
      </c>
      <c r="J206" s="60">
        <f>SUM(G200:V200)-AD204</f>
        <v>1680617.6999999997</v>
      </c>
      <c r="L206" s="67" t="s">
        <v>77</v>
      </c>
      <c r="M206" s="68">
        <f>(G206-J206)</f>
        <v>258459.16000000061</v>
      </c>
      <c r="O206" s="61" t="s">
        <v>95</v>
      </c>
      <c r="P206" s="62">
        <f>SUM(G205:AE205)</f>
        <v>2109503</v>
      </c>
      <c r="Q206" s="20"/>
      <c r="R206" s="63" t="s">
        <v>85</v>
      </c>
      <c r="S206" s="64">
        <f>SUM(X200:AC200)</f>
        <v>41500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 t="s">
        <v>178</v>
      </c>
      <c r="D208" s="25">
        <v>4750</v>
      </c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  <mergeCell ref="AA192:AB192"/>
    <mergeCell ref="AE192:AS192"/>
    <mergeCell ref="A192:D192"/>
    <mergeCell ref="E192:H192"/>
    <mergeCell ref="I192:L192"/>
    <mergeCell ref="M192:P192"/>
    <mergeCell ref="Q192:T192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32"/>
  <sheetViews>
    <sheetView tabSelected="1" topLeftCell="A10" workbookViewId="0">
      <selection activeCell="G28" sqref="G28"/>
    </sheetView>
  </sheetViews>
  <sheetFormatPr defaultRowHeight="14.4"/>
  <cols>
    <col min="3" max="3" width="30.5546875" customWidth="1"/>
    <col min="4" max="4" width="8" bestFit="1" customWidth="1"/>
  </cols>
  <sheetData>
    <row r="2" spans="3:4">
      <c r="C2" t="s">
        <v>186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187</v>
      </c>
      <c r="D9">
        <v>23163</v>
      </c>
    </row>
    <row r="10" spans="3:4">
      <c r="C10" s="116" t="s">
        <v>154</v>
      </c>
      <c r="D10">
        <v>50976</v>
      </c>
    </row>
    <row r="11" spans="3:4">
      <c r="C11" s="116" t="s">
        <v>173</v>
      </c>
      <c r="D11">
        <v>18880</v>
      </c>
    </row>
    <row r="12" spans="3:4" ht="18" customHeight="1">
      <c r="C12" s="116" t="s">
        <v>188</v>
      </c>
      <c r="D12">
        <v>219000</v>
      </c>
    </row>
    <row r="13" spans="3:4">
      <c r="C13" s="116" t="s">
        <v>189</v>
      </c>
      <c r="D13">
        <v>169250</v>
      </c>
    </row>
    <row r="14" spans="3:4">
      <c r="C14" s="116" t="s">
        <v>190</v>
      </c>
      <c r="D14">
        <v>87108</v>
      </c>
    </row>
    <row r="15" spans="3:4">
      <c r="C15" s="116" t="s">
        <v>192</v>
      </c>
      <c r="D15">
        <v>70800</v>
      </c>
    </row>
    <row r="16" spans="3:4">
      <c r="C16" s="116" t="s">
        <v>191</v>
      </c>
      <c r="D16">
        <v>107500</v>
      </c>
    </row>
    <row r="17" spans="3:4">
      <c r="C17" s="116" t="s">
        <v>166</v>
      </c>
      <c r="D17">
        <v>5900</v>
      </c>
    </row>
    <row r="18" spans="3:4">
      <c r="C18" s="116" t="s">
        <v>179</v>
      </c>
      <c r="D18">
        <v>193000</v>
      </c>
    </row>
    <row r="19" spans="3:4">
      <c r="C19" s="116" t="s">
        <v>181</v>
      </c>
      <c r="D19">
        <v>29880</v>
      </c>
    </row>
    <row r="20" spans="3:4">
      <c r="C20" s="116" t="s">
        <v>183</v>
      </c>
      <c r="D20">
        <v>9190</v>
      </c>
    </row>
    <row r="21" spans="3:4">
      <c r="C21" s="116" t="s">
        <v>187</v>
      </c>
      <c r="D21">
        <v>15540</v>
      </c>
    </row>
    <row r="22" spans="3:4" ht="28.8">
      <c r="C22" s="116" t="s">
        <v>180</v>
      </c>
      <c r="D22">
        <v>11965</v>
      </c>
    </row>
    <row r="23" spans="3:4">
      <c r="C23" s="116" t="s">
        <v>184</v>
      </c>
      <c r="D23">
        <v>5900</v>
      </c>
    </row>
    <row r="24" spans="3:4" ht="28.8">
      <c r="C24" s="116" t="s">
        <v>185</v>
      </c>
      <c r="D24">
        <v>10000</v>
      </c>
    </row>
    <row r="25" spans="3:4">
      <c r="C25" s="116" t="s">
        <v>193</v>
      </c>
      <c r="D25">
        <v>28260</v>
      </c>
    </row>
    <row r="26" spans="3:4">
      <c r="C26" s="116" t="s">
        <v>194</v>
      </c>
      <c r="D26">
        <v>45000</v>
      </c>
    </row>
    <row r="27" spans="3:4">
      <c r="C27" s="116" t="s">
        <v>195</v>
      </c>
      <c r="D27">
        <v>6000</v>
      </c>
    </row>
    <row r="28" spans="3:4">
      <c r="C28" s="116" t="s">
        <v>196</v>
      </c>
      <c r="D28">
        <v>43000</v>
      </c>
    </row>
    <row r="29" spans="3:4">
      <c r="C29" t="s">
        <v>197</v>
      </c>
      <c r="D29">
        <v>3000</v>
      </c>
    </row>
    <row r="30" spans="3:4">
      <c r="C30" t="s">
        <v>200</v>
      </c>
      <c r="D30">
        <v>12914</v>
      </c>
    </row>
    <row r="31" spans="3:4">
      <c r="C31" s="116" t="s">
        <v>198</v>
      </c>
      <c r="D31">
        <v>1200</v>
      </c>
    </row>
    <row r="32" spans="3:4">
      <c r="C32" t="s">
        <v>199</v>
      </c>
      <c r="D32">
        <v>3190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2026-09-15T13:14:10Z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