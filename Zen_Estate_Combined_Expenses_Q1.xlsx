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5\"/>
    </mc:Choice>
  </mc:AlternateContent>
  <xr:revisionPtr revIDLastSave="0" documentId="13_ncr:1_{6ED702A3-06C2-4E00-878E-5E848515B57D}" xr6:coauthVersionLast="47" xr6:coauthVersionMax="47" xr10:uidLastSave="{00000000-0000-0000-0000-000000000000}"/>
  <bookViews>
    <workbookView xWindow="2268" yWindow="2268" windowWidth="17280" windowHeight="9960" activeTab="2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7" i="1" l="1"/>
  <c r="L141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J172" i="1"/>
  <c r="H168" i="1"/>
  <c r="I168" i="1"/>
  <c r="J168" i="1"/>
  <c r="K168" i="1"/>
  <c r="L168" i="1"/>
  <c r="O168" i="1"/>
  <c r="P168" i="1"/>
  <c r="Q168" i="1"/>
  <c r="S168" i="1"/>
  <c r="T168" i="1"/>
  <c r="U168" i="1"/>
  <c r="V168" i="1"/>
  <c r="W166" i="1"/>
  <c r="X166" i="1"/>
  <c r="Y166" i="1"/>
  <c r="Z166" i="1"/>
  <c r="AA166" i="1"/>
  <c r="AB166" i="1"/>
  <c r="AC166" i="1"/>
  <c r="R168" i="1"/>
  <c r="G172" i="1"/>
  <c r="M172" i="1" s="1"/>
  <c r="P172" i="1"/>
  <c r="G153" i="1"/>
  <c r="P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H149" i="1" s="1"/>
  <c r="G147" i="1"/>
  <c r="G149" i="1" s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S172" i="1" l="1"/>
  <c r="G168" i="1"/>
  <c r="S153" i="1"/>
  <c r="AE27" i="1"/>
  <c r="AE43" i="1"/>
  <c r="AE75" i="1"/>
  <c r="AE145" i="1"/>
  <c r="L149" i="1"/>
  <c r="J153" i="1"/>
  <c r="M153" i="1" s="1"/>
  <c r="L128" i="1"/>
  <c r="L130" i="1" s="1"/>
  <c r="AE126" i="1"/>
  <c r="J117" i="1"/>
  <c r="M117" i="1" s="1"/>
  <c r="AE109" i="1"/>
  <c r="AE93" i="1"/>
  <c r="AE60" i="1"/>
  <c r="S134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S68" i="1"/>
  <c r="Q97" i="1"/>
  <c r="S117" i="1"/>
  <c r="S101" i="1"/>
  <c r="S83" i="1"/>
  <c r="L5" i="1" l="1"/>
  <c r="L4" i="1"/>
  <c r="G51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AR8" i="1"/>
  <c r="AS8" i="1"/>
  <c r="M15" i="1"/>
  <c r="J15" i="1"/>
  <c r="AE8" i="1"/>
  <c r="AF8" i="1"/>
  <c r="AH8" i="1"/>
  <c r="AP8" i="1"/>
  <c r="AN8" i="1"/>
  <c r="AK8" i="1"/>
  <c r="AL8" i="1"/>
  <c r="AG8" i="1"/>
  <c r="AO8" i="1"/>
  <c r="AJ8" i="1"/>
  <c r="AI8" i="1"/>
  <c r="AQ8" i="1"/>
  <c r="AM8" i="1"/>
</calcChain>
</file>

<file path=xl/sharedStrings.xml><?xml version="1.0" encoding="utf-8"?>
<sst xmlns="http://schemas.openxmlformats.org/spreadsheetml/2006/main" count="1055" uniqueCount="158">
  <si>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</si>
  <si>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</si>
  <si>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</si>
  <si>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</si>
  <si>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</si>
  <si>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</si>
  <si>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</si>
  <si>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</si>
  <si>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</si>
  <si>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</si>
  <si>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</si>
  <si>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</si>
  <si>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</si>
  <si>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</si>
  <si>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</si>
  <si>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</si>
  <si>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</si>
  <si>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</si>
  <si>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</si>
  <si>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</si>
  <si>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</si>
  <si>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</si>
  <si>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</si>
  <si>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</si>
  <si>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</si>
  <si>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</si>
  <si>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</si>
  <si>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</si>
  <si>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</si>
  <si>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</si>
  <si>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</si>
  <si>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</si>
  <si>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</si>
  <si>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</si>
  <si>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</si>
  <si>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</si>
  <si>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</si>
  <si>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</si>
  <si>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</si>
  <si>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</si>
  <si>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</si>
  <si>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</si>
  <si>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</si>
  <si>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</si>
  <si>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</si>
  <si>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</si>
  <si>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</si>
  <si>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</si>
  <si>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</si>
  <si>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</si>
  <si>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</si>
  <si>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</si>
  <si>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</si>
  <si>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</si>
  <si>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</si>
  <si>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</si>
  <si>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</si>
  <si>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</si>
  <si>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</si>
  <si>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</si>
  <si>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</si>
  <si>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</si>
  <si>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</si>
  <si>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</si>
  <si>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</si>
  <si>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</si>
  <si>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</si>
  <si>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</si>
  <si>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</si>
  <si>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</si>
  <si>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</si>
  <si>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</si>
  <si>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</si>
  <si>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</si>
  <si>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</si>
  <si>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</si>
  <si>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</si>
  <si>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</si>
  <si>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</si>
  <si>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</si>
  <si>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</si>
  <si>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</si>
  <si>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</si>
  <si>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</si>
  <si>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</si>
  <si>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</si>
  <si>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</si>
  <si>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</si>
  <si>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</si>
  <si>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</si>
  <si>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</si>
  <si>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</si>
  <si>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</si>
  <si>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</si>
  <si>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</si>
  <si>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</si>
  <si>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</si>
  <si>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</si>
  <si>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</si>
  <si>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</si>
  <si>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</si>
  <si>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</si>
  <si>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</si>
  <si>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</si>
  <si>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</si>
  <si>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</si>
  <si>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</si>
  <si>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</si>
  <si>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</si>
  <si>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</si>
  <si>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</si>
  <si>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</si>
  <si>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</si>
  <si>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</si>
  <si>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</si>
  <si>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</si>
  <si>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</si>
  <si>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</si>
  <si>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</si>
  <si>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</si>
  <si>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</si>
  <si>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</si>
  <si>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</si>
  <si>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</si>
  <si>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</si>
  <si>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</si>
  <si>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</si>
  <si>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</si>
  <si>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</si>
  <si>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</si>
  <si>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</si>
  <si>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</si>
  <si>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</si>
  <si>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</si>
  <si>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</si>
  <si>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</si>
  <si>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</si>
  <si>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</si>
  <si>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</si>
  <si>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</si>
  <si>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</si>
  <si>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</si>
  <si>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</si>
  <si>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</si>
  <si>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</si>
  <si>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</si>
  <si>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</si>
  <si>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</si>
  <si>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</si>
  <si>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</si>
  <si>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</si>
  <si>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</si>
  <si>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</si>
  <si>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</si>
  <si>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</si>
  <si>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>STP Plant Upgrade</t>
  </si>
  <si>
    <t xml:space="preserve">Architect </t>
  </si>
  <si>
    <t>Laptops- 2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</si>
</sst>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0" fontId="2" fillId="7" borderId="3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76"/>
  <sheetViews>
    <sheetView topLeftCell="K55" zoomScale="50" zoomScaleNormal="50" workbookViewId="0">
      <selection activeCell="X83" sqref="X83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5.6640625" customWidth="1"/>
    <col min="24" max="24" width="12.332031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5" t="s">
        <v>1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0"/>
      <c r="V2" s="10"/>
      <c r="W2" s="10"/>
      <c r="X2" s="10"/>
      <c r="Y2" s="82"/>
      <c r="Z2" s="73"/>
      <c r="AE2" s="120" t="s">
        <v>83</v>
      </c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5" t="s">
        <v>65</v>
      </c>
      <c r="B21" s="115"/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0"/>
      <c r="V21" s="10"/>
      <c r="W21" s="10"/>
      <c r="X21" s="10"/>
      <c r="Y21" s="82"/>
      <c r="Z21" s="73"/>
      <c r="AE21" s="120" t="s">
        <v>83</v>
      </c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  <c r="AS21" s="121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5" t="s">
        <v>69</v>
      </c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0"/>
      <c r="V37" s="10"/>
      <c r="W37" s="10"/>
      <c r="X37" s="82"/>
      <c r="Y37" s="82"/>
      <c r="Z37" s="83"/>
      <c r="AA37" s="34"/>
      <c r="AB37" s="34"/>
      <c r="AC37" s="34"/>
      <c r="AE37" s="116" t="s">
        <v>83</v>
      </c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/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5000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288899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294426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5527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24877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1881240.6199999999</v>
      </c>
      <c r="I51" s="42" t="s">
        <v>33</v>
      </c>
      <c r="J51" s="16">
        <f>SUM(G45:V45)-AE49</f>
        <v>1845708.9</v>
      </c>
      <c r="L51" s="67" t="s">
        <v>77</v>
      </c>
      <c r="M51" s="68">
        <f>(G51-J51)</f>
        <v>35531.719999999972</v>
      </c>
      <c r="O51" s="43" t="s">
        <v>86</v>
      </c>
      <c r="P51" s="47">
        <f>SUM(G50:V50)</f>
        <v>1842211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29999.98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5" t="s">
        <v>76</v>
      </c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0"/>
      <c r="V54" s="10"/>
      <c r="W54" s="10"/>
      <c r="X54" s="82"/>
      <c r="Y54" s="82"/>
      <c r="Z54" s="83"/>
      <c r="AE54" s="116" t="s">
        <v>83</v>
      </c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5" t="s">
        <v>104</v>
      </c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0"/>
      <c r="V69" s="10"/>
      <c r="W69" s="10"/>
      <c r="X69" s="10"/>
      <c r="Y69" s="10"/>
      <c r="Z69" s="10"/>
      <c r="AA69" s="118"/>
      <c r="AB69" s="119"/>
      <c r="AC69" s="103"/>
      <c r="AE69" s="116" t="s">
        <v>83</v>
      </c>
      <c r="AF69" s="117"/>
      <c r="AG69" s="117"/>
      <c r="AH69" s="117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SUM(X77:AA77)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5" t="s">
        <v>109</v>
      </c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0"/>
      <c r="V87" s="10"/>
      <c r="W87" s="10"/>
      <c r="X87" s="10"/>
      <c r="Y87" s="10"/>
      <c r="Z87" s="10"/>
      <c r="AA87" s="118"/>
      <c r="AB87" s="119"/>
      <c r="AC87" s="103"/>
      <c r="AE87" s="116" t="s">
        <v>83</v>
      </c>
      <c r="AF87" s="117"/>
      <c r="AG87" s="117"/>
      <c r="AH87" s="117"/>
      <c r="AI87" s="117"/>
      <c r="AJ87" s="117"/>
      <c r="AK87" s="117"/>
      <c r="AL87" s="117"/>
      <c r="AM87" s="117"/>
      <c r="AN87" s="117"/>
      <c r="AO87" s="117"/>
      <c r="AP87" s="117"/>
      <c r="AQ87" s="117"/>
      <c r="AR87" s="117"/>
      <c r="AS87" s="117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34"/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34"/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34"/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1945693.98</v>
      </c>
      <c r="Q101" s="20"/>
      <c r="R101" s="63" t="s">
        <v>85</v>
      </c>
      <c r="S101" s="64">
        <f>SUM(X95:AA95)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5" t="s">
        <v>113</v>
      </c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0"/>
      <c r="V103" s="10"/>
      <c r="W103" s="10"/>
      <c r="X103" s="10"/>
      <c r="Y103" s="10"/>
      <c r="Z103" s="10"/>
      <c r="AA103" s="118"/>
      <c r="AB103" s="119"/>
      <c r="AC103" s="103"/>
      <c r="AE103" s="116" t="s">
        <v>83</v>
      </c>
      <c r="AF103" s="117"/>
      <c r="AG103" s="117"/>
      <c r="AH103" s="117"/>
      <c r="AI103" s="117"/>
      <c r="AJ103" s="117"/>
      <c r="AK103" s="117"/>
      <c r="AL103" s="117"/>
      <c r="AM103" s="117"/>
      <c r="AN103" s="117"/>
      <c r="AO103" s="117"/>
      <c r="AP103" s="117"/>
      <c r="AQ103" s="117"/>
      <c r="AR103" s="117"/>
      <c r="AS103" s="117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SUM(X111:AA111)</f>
        <v>31240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5" t="s">
        <v>123</v>
      </c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0"/>
      <c r="V120" s="10"/>
      <c r="W120" s="10"/>
      <c r="X120" s="10"/>
      <c r="Y120" s="10"/>
      <c r="Z120" s="10"/>
      <c r="AA120" s="118"/>
      <c r="AB120" s="119"/>
      <c r="AC120" s="103"/>
      <c r="AE120" s="116" t="s">
        <v>83</v>
      </c>
      <c r="AF120" s="117"/>
      <c r="AG120" s="117"/>
      <c r="AH120" s="117"/>
      <c r="AI120" s="117"/>
      <c r="AJ120" s="117"/>
      <c r="AK120" s="117"/>
      <c r="AL120" s="117"/>
      <c r="AM120" s="117"/>
      <c r="AN120" s="117"/>
      <c r="AO120" s="117"/>
      <c r="AP120" s="117"/>
      <c r="AQ120" s="117"/>
      <c r="AR120" s="117"/>
      <c r="AS120" s="117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SUM(X128:AA128)</f>
        <v>23040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15" t="s">
        <v>140</v>
      </c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0"/>
      <c r="V139" s="10"/>
      <c r="W139" s="10"/>
      <c r="X139" s="10"/>
      <c r="Y139" s="10"/>
      <c r="Z139" s="10"/>
      <c r="AA139" s="118"/>
      <c r="AB139" s="119"/>
      <c r="AC139" s="103"/>
      <c r="AE139" s="116" t="s">
        <v>83</v>
      </c>
      <c r="AF139" s="117"/>
      <c r="AG139" s="117"/>
      <c r="AH139" s="117"/>
      <c r="AI139" s="117"/>
      <c r="AJ139" s="117"/>
      <c r="AK139" s="117"/>
      <c r="AL139" s="117"/>
      <c r="AM139" s="117"/>
      <c r="AN139" s="117"/>
      <c r="AO139" s="117"/>
      <c r="AP139" s="117"/>
      <c r="AQ139" s="117"/>
      <c r="AR139" s="117"/>
      <c r="AS139" s="117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46142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46142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46142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46142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46142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46142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46142</v>
      </c>
      <c r="C147" s="27" t="s">
        <v>32</v>
      </c>
      <c r="D147" s="25">
        <v>10499.99</v>
      </c>
      <c r="F147" s="40" t="s">
        <v>33</v>
      </c>
      <c r="G147" s="6">
        <f t="shared" ref="G147:L147" si="78">SUM(G141:G146)</f>
        <v>235406.17</v>
      </c>
      <c r="H147" s="6">
        <f t="shared" si="78"/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46142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46142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43.2">
      <c r="A150" s="25">
        <v>10</v>
      </c>
      <c r="B150" s="26">
        <v>46142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33"/>
      <c r="AA150" s="33"/>
      <c r="AB150" s="33"/>
      <c r="AC150" s="33"/>
    </row>
    <row r="151" spans="1:45">
      <c r="A151" s="25">
        <v>11</v>
      </c>
      <c r="B151" s="26">
        <v>46142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/>
      <c r="Z151" s="34"/>
      <c r="AA151" s="34"/>
      <c r="AB151" s="34"/>
      <c r="AC151" s="34"/>
    </row>
    <row r="152" spans="1:45" ht="15" thickBot="1">
      <c r="A152" s="25">
        <v>12</v>
      </c>
      <c r="B152" s="26">
        <v>46142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20"/>
      <c r="AA152" s="20"/>
      <c r="AB152" s="20"/>
      <c r="AC152" s="20"/>
    </row>
    <row r="153" spans="1:45" ht="43.8" thickBot="1">
      <c r="A153" s="25">
        <v>13</v>
      </c>
      <c r="B153" s="26">
        <v>46142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SUM(G147:V147)-AE151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SUM(G152:W152)</f>
        <v>2204899.98</v>
      </c>
      <c r="R153" s="63" t="s">
        <v>85</v>
      </c>
      <c r="S153" s="64">
        <f>SUM(X147:AA147)</f>
        <v>42800</v>
      </c>
      <c r="T153" s="35"/>
      <c r="U153" s="20"/>
      <c r="W153" s="114"/>
      <c r="X153" s="114"/>
    </row>
    <row r="154" spans="1:45">
      <c r="A154" s="25">
        <v>14</v>
      </c>
      <c r="B154" s="26">
        <v>46142</v>
      </c>
      <c r="C154" s="27" t="s">
        <v>142</v>
      </c>
      <c r="D154" s="25">
        <v>482557</v>
      </c>
    </row>
    <row r="155" spans="1:45">
      <c r="A155" s="25">
        <v>15</v>
      </c>
      <c r="B155" s="26">
        <v>46142</v>
      </c>
      <c r="C155" s="27" t="s">
        <v>131</v>
      </c>
      <c r="D155" s="25">
        <v>4600</v>
      </c>
    </row>
    <row r="156" spans="1:45">
      <c r="A156" s="25">
        <v>16</v>
      </c>
      <c r="B156" s="26">
        <v>46142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46142</v>
      </c>
      <c r="C157" s="27" t="s">
        <v>147</v>
      </c>
      <c r="D157" s="25">
        <v>99826</v>
      </c>
    </row>
    <row r="158" spans="1:45" ht="18.600000000000001" thickBot="1">
      <c r="A158" s="115" t="s">
        <v>150</v>
      </c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0"/>
      <c r="V158" s="10"/>
      <c r="W158" s="10"/>
      <c r="X158" s="10"/>
      <c r="Y158" s="10"/>
      <c r="Z158" s="10"/>
      <c r="AA158" s="118"/>
      <c r="AB158" s="119"/>
      <c r="AC158" s="103"/>
      <c r="AE158" s="116" t="s">
        <v>83</v>
      </c>
      <c r="AF158" s="117"/>
      <c r="AG158" s="117"/>
      <c r="AH158" s="117"/>
      <c r="AI158" s="117"/>
      <c r="AJ158" s="117"/>
      <c r="AK158" s="117"/>
      <c r="AL158" s="117"/>
      <c r="AM158" s="117"/>
      <c r="AN158" s="117"/>
      <c r="AO158" s="117"/>
      <c r="AP158" s="117"/>
      <c r="AQ158" s="117"/>
      <c r="AR158" s="117"/>
      <c r="AS158" s="117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46142</v>
      </c>
      <c r="C160" s="27" t="s">
        <v>144</v>
      </c>
      <c r="D160" s="25"/>
      <c r="F160" s="14" t="s">
        <v>27</v>
      </c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76"/>
      <c r="X160" s="78"/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46142</v>
      </c>
      <c r="C161" s="27" t="s">
        <v>28</v>
      </c>
      <c r="D161" s="25"/>
      <c r="F161" s="14" t="s">
        <v>27</v>
      </c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76"/>
      <c r="X161" s="78"/>
      <c r="Y161" s="93"/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46142</v>
      </c>
      <c r="C162" s="27" t="s">
        <v>29</v>
      </c>
      <c r="D162" s="25"/>
      <c r="F162" s="14" t="s">
        <v>27</v>
      </c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76"/>
      <c r="X162" s="78"/>
      <c r="Y162" s="93"/>
      <c r="Z162" s="14">
        <v>6000</v>
      </c>
      <c r="AA162" s="79"/>
      <c r="AB162" s="79"/>
      <c r="AC162" s="79"/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46142</v>
      </c>
      <c r="C163" s="27" t="s">
        <v>125</v>
      </c>
      <c r="D163" s="25"/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46142</v>
      </c>
      <c r="C164" s="27" t="s">
        <v>30</v>
      </c>
      <c r="D164" s="25"/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46142</v>
      </c>
      <c r="C165" s="27" t="s">
        <v>31</v>
      </c>
      <c r="D165" s="25"/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46142</v>
      </c>
      <c r="C166" s="27" t="s">
        <v>32</v>
      </c>
      <c r="D166" s="25"/>
      <c r="F166" s="40" t="s">
        <v>33</v>
      </c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>
        <f>SUM(W160:W165)</f>
        <v>0</v>
      </c>
      <c r="X166" s="55">
        <f t="shared" ref="X166:AC166" si="86">SUM(X160:X165)</f>
        <v>0</v>
      </c>
      <c r="Y166" s="55">
        <f t="shared" si="86"/>
        <v>7000</v>
      </c>
      <c r="Z166" s="55">
        <f t="shared" si="86"/>
        <v>24000</v>
      </c>
      <c r="AA166" s="55">
        <f t="shared" si="86"/>
        <v>0</v>
      </c>
      <c r="AB166" s="55">
        <f t="shared" si="86"/>
        <v>0</v>
      </c>
      <c r="AC166" s="55">
        <f t="shared" si="86"/>
        <v>5500</v>
      </c>
    </row>
    <row r="167" spans="1:45" ht="28.8">
      <c r="A167" s="25">
        <v>8</v>
      </c>
      <c r="B167" s="26">
        <v>46142</v>
      </c>
      <c r="C167" s="27" t="s">
        <v>34</v>
      </c>
      <c r="D167" s="25"/>
      <c r="F167" s="44" t="s">
        <v>35</v>
      </c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46142</v>
      </c>
      <c r="C168" s="27" t="s">
        <v>148</v>
      </c>
      <c r="D168" s="25"/>
      <c r="F168" s="46" t="s">
        <v>87</v>
      </c>
      <c r="G168" s="54">
        <f t="shared" ref="G168:L168" si="87">(G167-G166)</f>
        <v>0</v>
      </c>
      <c r="H168" s="54">
        <f t="shared" si="87"/>
        <v>0</v>
      </c>
      <c r="I168" s="54">
        <f t="shared" si="87"/>
        <v>0</v>
      </c>
      <c r="J168" s="54">
        <f t="shared" si="87"/>
        <v>0</v>
      </c>
      <c r="K168" s="54">
        <f t="shared" si="87"/>
        <v>0</v>
      </c>
      <c r="L168" s="54">
        <f t="shared" si="87"/>
        <v>0</v>
      </c>
      <c r="M168" s="54"/>
      <c r="N168" s="54"/>
      <c r="O168" s="54">
        <f>(O167-O166)</f>
        <v>0</v>
      </c>
      <c r="P168" s="54">
        <f>(P167-P166)</f>
        <v>0</v>
      </c>
      <c r="Q168" s="54">
        <f t="shared" ref="Q168:R168" si="88">(Q167-Q166)</f>
        <v>0</v>
      </c>
      <c r="R168" s="54">
        <f t="shared" si="88"/>
        <v>0</v>
      </c>
      <c r="S168" s="54">
        <f>(S167-S166)</f>
        <v>0</v>
      </c>
      <c r="T168" s="54">
        <f t="shared" ref="T168:U168" si="89">(T167-T166)</f>
        <v>0</v>
      </c>
      <c r="U168" s="54">
        <f t="shared" si="89"/>
        <v>0</v>
      </c>
      <c r="V168" s="54">
        <f>(V167-V166)</f>
        <v>0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46142</v>
      </c>
      <c r="C169" s="27" t="s">
        <v>117</v>
      </c>
      <c r="D169" s="25"/>
      <c r="F169" s="7" t="s">
        <v>4</v>
      </c>
      <c r="G169" s="7" t="s">
        <v>38</v>
      </c>
      <c r="H169" s="8" t="s">
        <v>39</v>
      </c>
      <c r="I169" s="8" t="s">
        <v>145</v>
      </c>
      <c r="J169" s="8" t="s">
        <v>144</v>
      </c>
      <c r="K169" s="8" t="s">
        <v>42</v>
      </c>
      <c r="L169" s="29" t="s">
        <v>148</v>
      </c>
      <c r="M169" s="8" t="s">
        <v>44</v>
      </c>
      <c r="N169" s="29" t="s">
        <v>45</v>
      </c>
      <c r="O169" s="29" t="s">
        <v>46</v>
      </c>
      <c r="P169" s="29" t="s">
        <v>117</v>
      </c>
      <c r="Q169" s="29" t="s">
        <v>149</v>
      </c>
      <c r="R169" s="29" t="s">
        <v>118</v>
      </c>
      <c r="S169" s="30" t="s">
        <v>50</v>
      </c>
      <c r="T169" s="32" t="s">
        <v>51</v>
      </c>
      <c r="U169" s="32" t="s">
        <v>131</v>
      </c>
      <c r="V169" s="32" t="s">
        <v>146</v>
      </c>
      <c r="W169" s="32" t="s">
        <v>147</v>
      </c>
      <c r="X169" s="33"/>
      <c r="Y169" s="33"/>
      <c r="Z169" s="33"/>
      <c r="AA169" s="33"/>
      <c r="AB169" s="33"/>
      <c r="AC169" s="33"/>
    </row>
    <row r="170" spans="1:45">
      <c r="A170" s="25">
        <v>11</v>
      </c>
      <c r="B170" s="26">
        <v>46142</v>
      </c>
      <c r="C170" s="27" t="s">
        <v>118</v>
      </c>
      <c r="D170" s="25"/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9">
        <v>46218</v>
      </c>
      <c r="V170" s="19">
        <v>46218</v>
      </c>
      <c r="W170" s="19">
        <v>46218</v>
      </c>
      <c r="X170" s="34"/>
      <c r="Y170" s="34"/>
      <c r="Z170" s="34"/>
      <c r="AA170" s="34"/>
      <c r="AB170" s="34"/>
      <c r="AC170" s="34"/>
    </row>
    <row r="171" spans="1:45" ht="15" thickBot="1">
      <c r="A171" s="25">
        <v>12</v>
      </c>
      <c r="B171" s="26">
        <v>46142</v>
      </c>
      <c r="C171" s="27" t="s">
        <v>149</v>
      </c>
      <c r="D171" s="25"/>
      <c r="F171" s="49" t="s">
        <v>59</v>
      </c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20"/>
      <c r="Y171" s="20"/>
      <c r="Z171" s="20"/>
      <c r="AA171" s="20"/>
      <c r="AB171" s="20"/>
      <c r="AC171" s="20"/>
    </row>
    <row r="172" spans="1:45" ht="43.8" thickBot="1">
      <c r="A172" s="25">
        <v>13</v>
      </c>
      <c r="B172" s="26">
        <v>46142</v>
      </c>
      <c r="C172" s="27" t="s">
        <v>151</v>
      </c>
      <c r="D172" s="25"/>
      <c r="F172" s="57" t="s">
        <v>84</v>
      </c>
      <c r="G172" s="58">
        <f>SUM(G167:V167)</f>
        <v>0</v>
      </c>
      <c r="I172" s="59" t="s">
        <v>33</v>
      </c>
      <c r="J172" s="60">
        <f>SUM(G166:V166)-AE170</f>
        <v>0</v>
      </c>
      <c r="L172" s="67" t="s">
        <v>77</v>
      </c>
      <c r="M172" s="68">
        <f>(G172-J172)</f>
        <v>0</v>
      </c>
      <c r="O172" s="61" t="s">
        <v>95</v>
      </c>
      <c r="P172" s="62">
        <f>SUM(G171:W171)</f>
        <v>0</v>
      </c>
      <c r="Q172" s="20"/>
      <c r="R172" s="63" t="s">
        <v>85</v>
      </c>
      <c r="S172" s="64">
        <f>SUM(X166:AA166)</f>
        <v>31000</v>
      </c>
      <c r="T172" s="35"/>
      <c r="U172" s="20"/>
    </row>
    <row r="173" spans="1:45">
      <c r="A173" s="25">
        <v>14</v>
      </c>
      <c r="B173" s="26">
        <v>46142</v>
      </c>
      <c r="C173" s="27" t="s">
        <v>152</v>
      </c>
      <c r="D173" s="25"/>
    </row>
    <row r="174" spans="1:45">
      <c r="A174" s="25">
        <v>15</v>
      </c>
      <c r="B174" s="26">
        <v>46142</v>
      </c>
      <c r="C174" s="27" t="s">
        <v>131</v>
      </c>
      <c r="D174" s="25"/>
    </row>
    <row r="175" spans="1:45">
      <c r="A175" s="25">
        <v>16</v>
      </c>
      <c r="B175" s="26">
        <v>46142</v>
      </c>
      <c r="C175" s="27" t="s">
        <v>146</v>
      </c>
      <c r="D175" s="25"/>
    </row>
    <row r="176" spans="1:45">
      <c r="A176" s="25">
        <v>17</v>
      </c>
      <c r="B176" s="26">
        <v>46142</v>
      </c>
      <c r="C176" s="27" t="s">
        <v>147</v>
      </c>
      <c r="D176" s="25"/>
    </row>
  </sheetData>
  <mergeCells count="66">
    <mergeCell ref="AE103:AS103"/>
    <mergeCell ref="AE120:AS120"/>
    <mergeCell ref="AE37:AS37"/>
    <mergeCell ref="AE54:AS54"/>
    <mergeCell ref="AE69:AS69"/>
    <mergeCell ref="AE87:AS87"/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A87:D87"/>
    <mergeCell ref="E87:H87"/>
    <mergeCell ref="I87:L87"/>
    <mergeCell ref="M87:P87"/>
    <mergeCell ref="Q87:T87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A139:AB139"/>
    <mergeCell ref="AE139:AS139"/>
    <mergeCell ref="A139:D139"/>
    <mergeCell ref="E139:H139"/>
    <mergeCell ref="I139:L139"/>
    <mergeCell ref="M139:P139"/>
    <mergeCell ref="Q139:T139"/>
    <mergeCell ref="E158:H158"/>
    <mergeCell ref="A158:D158"/>
    <mergeCell ref="AE158:AS158"/>
    <mergeCell ref="AA158:AB158"/>
    <mergeCell ref="Q158:T158"/>
    <mergeCell ref="M158:P158"/>
    <mergeCell ref="I158:L158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9"/>
  <sheetViews>
    <sheetView tabSelected="1" workbookViewId="0">
      <selection activeCell="B11" sqref="B11"/>
    </sheetView>
  </sheetViews>
  <sheetFormatPr defaultRowHeight="14.4"/>
  <cols>
    <col min="2" max="2" width="23.33203125" bestFit="1" customWidth="1"/>
  </cols>
  <sheetData>
    <row r="3" spans="2:3">
      <c r="B3" t="s">
        <v>156</v>
      </c>
      <c r="C3">
        <v>45000</v>
      </c>
    </row>
    <row r="4" spans="2:3">
      <c r="B4" t="s">
        <v>112</v>
      </c>
      <c r="C4">
        <v>12555</v>
      </c>
    </row>
    <row r="5" spans="2:3">
      <c r="B5" t="s">
        <v>143</v>
      </c>
      <c r="C5">
        <v>13500</v>
      </c>
    </row>
    <row r="6" spans="2:3">
      <c r="B6" t="s">
        <v>157</v>
      </c>
      <c r="C6">
        <v>48500</v>
      </c>
    </row>
    <row r="7" spans="2:3">
      <c r="B7" t="s">
        <v>149</v>
      </c>
      <c r="C7">
        <v>18000</v>
      </c>
    </row>
    <row r="8" spans="2:3">
      <c r="B8" t="s">
        <v>154</v>
      </c>
      <c r="C8">
        <v>50976</v>
      </c>
    </row>
    <row r="9" spans="2:3">
      <c r="B9" t="s">
        <v>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</cols>
  <sheetData>
    <row r="1" spans="1:2">
      <c r="A1" s="1" t="s">
        <v>79</v>
      </c>
      <c r="B1" s="1" t="s">
        <v>80</v>
      </c>
    </row>
    <row r="2" spans="1:2">
      <c r="A2" s="2">
        <v>45976</v>
      </c>
      <c r="B2" s="3">
        <v>2000</v>
      </c>
    </row>
    <row r="3" spans="1:2">
      <c r="A3" s="2">
        <v>46039</v>
      </c>
      <c r="B3" s="3">
        <v>2000</v>
      </c>
    </row>
    <row r="4" spans="1:2">
      <c r="A4" s="2">
        <v>46039</v>
      </c>
      <c r="B4" s="3">
        <v>2000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2026-06-26T10:52:46Z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