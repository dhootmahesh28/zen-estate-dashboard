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6\"/>
    </mc:Choice>
  </mc:AlternateContent>
  <xr:revisionPtr revIDLastSave="0" documentId="13_ncr:1_{EA0E908E-E599-4A61-97AB-36CD5E3C79C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2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P206" i="1"/>
  <c r="J206" i="1"/>
  <c r="G206" i="1"/>
  <c r="M206" i="1" s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J188" i="1" l="1"/>
  <c r="S206" i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P188" i="1" l="1"/>
  <c r="G188" i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H8" i="1" l="1"/>
  <c r="AG8" i="1"/>
  <c r="AS8" i="1"/>
  <c r="AR8" i="1"/>
  <c r="M15" i="1"/>
  <c r="J15" i="1"/>
  <c r="AE8" i="1"/>
  <c r="AF8" i="1"/>
  <c r="AK8" i="1"/>
  <c r="AJ8" i="1"/>
  <c r="AP8" i="1"/>
  <c r="AQ8" i="1"/>
  <c r="AN8" i="1"/>
  <c r="AI8" i="1"/>
  <c r="AM8" i="1"/>
  <c r="AO8" i="1"/>
  <c r="AL8" i="1"/>
</calcChain>
</file>

<file path=xl/sharedStrings.xml><?xml version="1.0" encoding="utf-8"?>
<sst xmlns="http://schemas.openxmlformats.org/spreadsheetml/2006/main" count="1295" uniqueCount="188">
  <si>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</si>
  <si>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</si>
  <si>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</si>
  <si>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</si>
  <si>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</si>
  <si>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</si>
  <si>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</si>
  <si>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</si>
  <si>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</si>
  <si>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</si>
  <si>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</si>
  <si>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</si>
  <si>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</si>
  <si>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</si>
  <si>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</si>
  <si>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</si>
  <si>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</si>
  <si>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</si>
  <si>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</si>
  <si>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</si>
  <si>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</si>
  <si>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</si>
  <si>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</si>
  <si>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</si>
  <si>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</si>
  <si>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</si>
  <si>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</si>
  <si>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</si>
  <si>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</si>
  <si>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</si>
  <si>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</si>
  <si>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</si>
  <si>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</si>
  <si>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</si>
  <si>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</si>
  <si>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</si>
  <si>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</si>
  <si>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</si>
  <si>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</si>
  <si>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</si>
  <si>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</si>
  <si>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</si>
  <si>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</si>
  <si>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</si>
  <si>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</si>
  <si>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</si>
  <si>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</si>
  <si>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</si>
  <si>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</si>
  <si>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</si>
  <si>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</si>
  <si>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</si>
  <si>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</si>
  <si>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</si>
  <si>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</si>
  <si>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</si>
  <si>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</si>
  <si>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</si>
  <si>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</si>
  <si>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</si>
  <si>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</si>
  <si>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</si>
  <si>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</si>
  <si>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</si>
  <si>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</si>
  <si>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</si>
  <si>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</si>
  <si>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</si>
  <si>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</si>
  <si>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</si>
  <si>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</si>
  <si>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</si>
  <si>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</si>
  <si>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</si>
  <si>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</si>
  <si>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</si>
  <si>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</si>
  <si>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</si>
  <si>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</si>
  <si>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</si>
  <si>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</si>
  <si>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</si>
  <si>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</si>
  <si>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</si>
  <si>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</si>
  <si>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</si>
  <si>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</si>
  <si>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</si>
  <si>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</si>
  <si>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</si>
  <si>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</si>
  <si>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</si>
  <si>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</si>
  <si>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</si>
  <si>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</si>
  <si>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</si>
  <si>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</si>
  <si>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</si>
  <si>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</si>
  <si>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</si>
  <si>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</si>
  <si>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</si>
  <si>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</si>
  <si>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</si>
  <si>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</si>
  <si>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</si>
  <si>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</si>
  <si>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</si>
  <si>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</si>
  <si>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</si>
  <si>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</si>
  <si>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</si>
  <si>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</si>
  <si>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</si>
  <si>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</si>
  <si>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</si>
  <si>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</si>
  <si>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</si>
  <si>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</si>
  <si>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</si>
  <si>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</si>
  <si>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</si>
  <si>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</si>
  <si>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</si>
  <si>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</si>
  <si>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</si>
  <si>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</si>
  <si>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</si>
  <si>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</si>
  <si>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</si>
  <si>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</si>
  <si>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</si>
  <si>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</si>
  <si>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</si>
  <si>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</si>
  <si>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</si>
  <si>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</si>
  <si>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</si>
  <si>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</si>
  <si>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</si>
  <si>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</si>
  <si>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</si>
  <si>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</si>
  <si>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</si>
  <si>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</si>
  <si>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</si>
  <si>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</si>
  <si>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</si>
  <si>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</si>
  <si>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</si>
  <si>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</si>
  <si>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</si>
  <si>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</si>
  <si>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</si>
  <si>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</si>
  <si>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</si>
  <si>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</si>
  <si>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</si>
  <si>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</si>
  <si>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</si>
  <si>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</si>
  <si>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</si>
  <si>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</si>
  <si>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</si>
  <si>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</si>
  <si>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</si>
  <si>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</si>
  <si>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</si>
  <si>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</si>
  <si>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</si>
  <si>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</si>
  <si>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</si>
  <si>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</si>
  <si>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</si>
  <si>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</si>
  <si>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</si>
  <si>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</si>
  <si>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</si>
  <si>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</si>
  <si>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</si>
  <si>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</si>
  <si>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</si>
  <si>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15th Aug Refreshment, Ballon decoration &amp; banner</t>
  </si>
  <si>
    <t>FM Team Uniform</t>
  </si>
  <si>
    <t xml:space="preserve">FM Team Uniform </t>
  </si>
  <si>
    <t>4 AC Servicing and Gas Refill</t>
  </si>
  <si>
    <t>Gym Glass Door Granite Replacemnt</t>
  </si>
  <si>
    <t>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</si>
</sst>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abSelected="1" topLeftCell="I180" zoomScale="55" zoomScaleNormal="55" workbookViewId="0">
      <selection activeCell="W212" sqref="W212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8" t="s">
        <v>1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0"/>
      <c r="V2" s="10"/>
      <c r="W2" s="10"/>
      <c r="X2" s="10"/>
      <c r="Y2" s="82"/>
      <c r="Z2" s="73"/>
      <c r="AE2" s="121" t="s">
        <v>83</v>
      </c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8" t="s">
        <v>65</v>
      </c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0"/>
      <c r="V21" s="10"/>
      <c r="W21" s="10"/>
      <c r="X21" s="10"/>
      <c r="Y21" s="82"/>
      <c r="Z21" s="73"/>
      <c r="AE21" s="121" t="s">
        <v>83</v>
      </c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8" t="s">
        <v>69</v>
      </c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0"/>
      <c r="V37" s="10"/>
      <c r="W37" s="10"/>
      <c r="X37" s="82"/>
      <c r="Y37" s="82"/>
      <c r="Z37" s="83"/>
      <c r="AA37" s="34"/>
      <c r="AB37" s="34"/>
      <c r="AC37" s="34"/>
      <c r="AE37" s="116" t="s">
        <v>83</v>
      </c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8" t="s">
        <v>76</v>
      </c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0"/>
      <c r="V54" s="10"/>
      <c r="W54" s="10"/>
      <c r="X54" s="82"/>
      <c r="Y54" s="82"/>
      <c r="Z54" s="83"/>
      <c r="AE54" s="116" t="s">
        <v>83</v>
      </c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8" t="s">
        <v>104</v>
      </c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0"/>
      <c r="V69" s="10"/>
      <c r="W69" s="10"/>
      <c r="X69" s="10"/>
      <c r="Y69" s="10"/>
      <c r="Z69" s="10"/>
      <c r="AA69" s="119"/>
      <c r="AB69" s="120"/>
      <c r="AC69" s="103"/>
      <c r="AE69" s="116" t="s">
        <v>83</v>
      </c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8" t="s">
        <v>109</v>
      </c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0"/>
      <c r="V87" s="10"/>
      <c r="W87" s="10"/>
      <c r="X87" s="10"/>
      <c r="Y87" s="10"/>
      <c r="Z87" s="10"/>
      <c r="AA87" s="119"/>
      <c r="AB87" s="120"/>
      <c r="AC87" s="103"/>
      <c r="AE87" s="116" t="s">
        <v>83</v>
      </c>
      <c r="AF87" s="117"/>
      <c r="AG87" s="117"/>
      <c r="AH87" s="117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8" t="s">
        <v>113</v>
      </c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0"/>
      <c r="V103" s="10"/>
      <c r="W103" s="10"/>
      <c r="X103" s="10"/>
      <c r="Y103" s="10"/>
      <c r="Z103" s="10"/>
      <c r="AA103" s="119"/>
      <c r="AB103" s="120"/>
      <c r="AC103" s="103"/>
      <c r="AE103" s="116" t="s">
        <v>83</v>
      </c>
      <c r="AF103" s="117"/>
      <c r="AG103" s="117"/>
      <c r="AH103" s="117"/>
      <c r="AI103" s="117"/>
      <c r="AJ103" s="117"/>
      <c r="AK103" s="117"/>
      <c r="AL103" s="117"/>
      <c r="AM103" s="117"/>
      <c r="AN103" s="117"/>
      <c r="AO103" s="117"/>
      <c r="AP103" s="117"/>
      <c r="AQ103" s="117"/>
      <c r="AR103" s="117"/>
      <c r="AS103" s="117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8" t="s">
        <v>123</v>
      </c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0"/>
      <c r="V120" s="10"/>
      <c r="W120" s="10"/>
      <c r="X120" s="10"/>
      <c r="Y120" s="10"/>
      <c r="Z120" s="10"/>
      <c r="AA120" s="119"/>
      <c r="AB120" s="120"/>
      <c r="AC120" s="103"/>
      <c r="AE120" s="116" t="s">
        <v>83</v>
      </c>
      <c r="AF120" s="117"/>
      <c r="AG120" s="117"/>
      <c r="AH120" s="117"/>
      <c r="AI120" s="117"/>
      <c r="AJ120" s="117"/>
      <c r="AK120" s="117"/>
      <c r="AL120" s="117"/>
      <c r="AM120" s="117"/>
      <c r="AN120" s="117"/>
      <c r="AO120" s="117"/>
      <c r="AP120" s="117"/>
      <c r="AQ120" s="117"/>
      <c r="AR120" s="117"/>
      <c r="AS120" s="117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8" t="s">
        <v>140</v>
      </c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0"/>
      <c r="V139" s="10"/>
      <c r="W139" s="10"/>
      <c r="X139" s="10"/>
      <c r="Y139" s="10"/>
      <c r="Z139" s="10"/>
      <c r="AA139" s="119"/>
      <c r="AB139" s="120"/>
      <c r="AC139" s="103"/>
      <c r="AE139" s="116" t="s">
        <v>83</v>
      </c>
      <c r="AF139" s="117"/>
      <c r="AG139" s="117"/>
      <c r="AH139" s="117"/>
      <c r="AI139" s="117"/>
      <c r="AJ139" s="117"/>
      <c r="AK139" s="117"/>
      <c r="AL139" s="117"/>
      <c r="AM139" s="117"/>
      <c r="AN139" s="117"/>
      <c r="AO139" s="117"/>
      <c r="AP139" s="117"/>
      <c r="AQ139" s="117"/>
      <c r="AR139" s="117"/>
      <c r="AS139" s="117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46218</v>
      </c>
      <c r="AB151" s="111">
        <v>46218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18" t="s">
        <v>150</v>
      </c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0"/>
      <c r="V158" s="10"/>
      <c r="W158" s="10"/>
      <c r="X158" s="10"/>
      <c r="Y158" s="10"/>
      <c r="Z158" s="10"/>
      <c r="AA158" s="119"/>
      <c r="AB158" s="120"/>
      <c r="AC158" s="103"/>
      <c r="AE158" s="116" t="s">
        <v>83</v>
      </c>
      <c r="AF158" s="117"/>
      <c r="AG158" s="117"/>
      <c r="AH158" s="117"/>
      <c r="AI158" s="117"/>
      <c r="AJ158" s="117"/>
      <c r="AK158" s="117"/>
      <c r="AL158" s="117"/>
      <c r="AM158" s="117"/>
      <c r="AN158" s="117"/>
      <c r="AO158" s="117"/>
      <c r="AP158" s="117"/>
      <c r="AQ158" s="117"/>
      <c r="AR158" s="117"/>
      <c r="AS158" s="117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171</v>
      </c>
      <c r="X169" s="113" t="s">
        <v>172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SUM(G171:W171)</f>
        <v>2593066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18" t="s">
        <v>161</v>
      </c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0"/>
      <c r="V174" s="10"/>
      <c r="W174" s="10"/>
      <c r="X174" s="10"/>
      <c r="Y174" s="10"/>
      <c r="Z174" s="10"/>
      <c r="AA174" s="119"/>
      <c r="AB174" s="120"/>
      <c r="AC174" s="103"/>
      <c r="AE174" s="116" t="s">
        <v>83</v>
      </c>
      <c r="AF174" s="117"/>
      <c r="AG174" s="117"/>
      <c r="AH174" s="117"/>
      <c r="AI174" s="117"/>
      <c r="AJ174" s="117"/>
      <c r="AK174" s="117"/>
      <c r="AL174" s="117"/>
      <c r="AM174" s="117"/>
      <c r="AN174" s="117"/>
      <c r="AO174" s="117"/>
      <c r="AP174" s="117"/>
      <c r="AQ174" s="117"/>
      <c r="AR174" s="117"/>
      <c r="AS174" s="117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183</v>
      </c>
      <c r="Y185" s="33"/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34"/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20"/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SUM(G187:W187)</f>
        <v>2165957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18" t="s">
        <v>175</v>
      </c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0"/>
      <c r="V192" s="10"/>
      <c r="W192" s="10"/>
      <c r="X192" s="10"/>
      <c r="Y192" s="10"/>
      <c r="Z192" s="10"/>
      <c r="AA192" s="119"/>
      <c r="AB192" s="120"/>
      <c r="AC192" s="103"/>
      <c r="AE192" s="116" t="s">
        <v>83</v>
      </c>
      <c r="AF192" s="117"/>
      <c r="AG192" s="117"/>
      <c r="AH192" s="117"/>
      <c r="AI192" s="117"/>
      <c r="AJ192" s="117"/>
      <c r="AK192" s="117"/>
      <c r="AL192" s="117"/>
      <c r="AM192" s="117"/>
      <c r="AN192" s="117"/>
      <c r="AO192" s="117"/>
      <c r="AP192" s="117"/>
      <c r="AQ192" s="117"/>
      <c r="AR192" s="117"/>
      <c r="AS192" s="117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/>
      <c r="F194" s="14" t="s">
        <v>27</v>
      </c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76"/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/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/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/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/>
      <c r="X196" s="78"/>
      <c r="Y196" s="93"/>
      <c r="Z196" s="14"/>
      <c r="AA196" s="79"/>
      <c r="AB196" s="79"/>
      <c r="AC196" s="79"/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/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/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/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/>
      <c r="F200" s="40" t="s">
        <v>33</v>
      </c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>
        <f>SUM(W194:W199)</f>
        <v>0</v>
      </c>
      <c r="X200" s="55">
        <f t="shared" ref="X200:AC200" si="101">SUM(X194:X199)</f>
        <v>0</v>
      </c>
      <c r="Y200" s="55">
        <f t="shared" si="101"/>
        <v>8000</v>
      </c>
      <c r="Z200" s="55">
        <f t="shared" si="101"/>
        <v>21000</v>
      </c>
      <c r="AA200" s="55">
        <f t="shared" si="101"/>
        <v>0</v>
      </c>
      <c r="AB200" s="55">
        <f t="shared" si="101"/>
        <v>0</v>
      </c>
      <c r="AC200" s="55">
        <f t="shared" si="101"/>
        <v>4500</v>
      </c>
    </row>
    <row r="201" spans="1:45" ht="28.8">
      <c r="A201" s="25">
        <v>8</v>
      </c>
      <c r="B201" s="26">
        <v>46203</v>
      </c>
      <c r="C201" s="27" t="s">
        <v>117</v>
      </c>
      <c r="D201" s="25"/>
      <c r="F201" s="44" t="s">
        <v>35</v>
      </c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/>
      <c r="F202" s="46" t="s">
        <v>87</v>
      </c>
      <c r="G202" s="54">
        <f t="shared" ref="G202" si="102">(G201-G200)</f>
        <v>0</v>
      </c>
      <c r="H202" s="54">
        <f>(H201-H200)</f>
        <v>0</v>
      </c>
      <c r="I202" s="54">
        <f t="shared" ref="I202:L202" si="103">(I201-I200)</f>
        <v>0</v>
      </c>
      <c r="J202" s="54">
        <f t="shared" si="103"/>
        <v>0</v>
      </c>
      <c r="K202" s="54">
        <f t="shared" si="103"/>
        <v>0</v>
      </c>
      <c r="L202" s="54">
        <f t="shared" si="103"/>
        <v>0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4">(Q201-Q200)</f>
        <v>0</v>
      </c>
      <c r="R202" s="54">
        <f t="shared" si="104"/>
        <v>0</v>
      </c>
      <c r="S202" s="54">
        <f>(S201-S200)</f>
        <v>0</v>
      </c>
      <c r="T202" s="54">
        <f t="shared" ref="T202:U202" si="105">(T201-T200)</f>
        <v>0</v>
      </c>
      <c r="U202" s="54">
        <f t="shared" si="105"/>
        <v>0</v>
      </c>
      <c r="V202" s="54">
        <f>(V201-V200)</f>
        <v>0</v>
      </c>
      <c r="W202" s="31"/>
      <c r="X202" s="31"/>
      <c r="Y202" s="31"/>
      <c r="Z202" s="31"/>
      <c r="AA202" s="31"/>
      <c r="AB202" s="31"/>
      <c r="AC202" s="31"/>
    </row>
    <row r="203" spans="1:45" ht="57.6">
      <c r="A203" s="25">
        <v>10</v>
      </c>
      <c r="B203" s="26">
        <v>46203</v>
      </c>
      <c r="C203" s="27" t="s">
        <v>176</v>
      </c>
      <c r="D203" s="25"/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/>
      <c r="U203" s="32"/>
      <c r="V203" s="32" t="s">
        <v>182</v>
      </c>
      <c r="W203" s="113" t="s">
        <v>180</v>
      </c>
      <c r="X203" s="113" t="s">
        <v>185</v>
      </c>
      <c r="Y203" s="113" t="s">
        <v>186</v>
      </c>
      <c r="Z203" s="33"/>
      <c r="AA203" s="33"/>
      <c r="AB203" s="33"/>
      <c r="AC203" s="33"/>
    </row>
    <row r="204" spans="1:45">
      <c r="A204" s="25">
        <v>11</v>
      </c>
      <c r="B204" s="26">
        <v>46203</v>
      </c>
      <c r="C204" s="27" t="s">
        <v>177</v>
      </c>
      <c r="D204" s="25"/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9">
        <v>46280</v>
      </c>
      <c r="V204" s="19">
        <v>46280</v>
      </c>
      <c r="W204" s="111">
        <v>46280</v>
      </c>
      <c r="X204" s="111">
        <v>46280</v>
      </c>
      <c r="Y204" s="111">
        <v>46280</v>
      </c>
      <c r="Z204" s="34"/>
      <c r="AA204" s="34"/>
      <c r="AB204" s="34"/>
      <c r="AC204" s="34"/>
    </row>
    <row r="205" spans="1:45" ht="15" thickBot="1">
      <c r="A205" s="25">
        <v>12</v>
      </c>
      <c r="B205" s="26">
        <v>46203</v>
      </c>
      <c r="C205" s="27" t="s">
        <v>131</v>
      </c>
      <c r="D205" s="25"/>
      <c r="F205" s="49" t="s">
        <v>59</v>
      </c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>
        <v>28260</v>
      </c>
      <c r="W205" s="112">
        <v>11965</v>
      </c>
      <c r="X205" s="112">
        <v>5900</v>
      </c>
      <c r="Y205" s="112">
        <v>10000</v>
      </c>
      <c r="Z205" s="20"/>
      <c r="AA205" s="20"/>
      <c r="AB205" s="20"/>
      <c r="AC205" s="20"/>
    </row>
    <row r="206" spans="1:45" ht="43.8" thickBot="1">
      <c r="A206" s="25">
        <v>13</v>
      </c>
      <c r="B206" s="26">
        <v>46203</v>
      </c>
      <c r="C206" s="27" t="s">
        <v>147</v>
      </c>
      <c r="D206" s="25"/>
      <c r="F206" s="57" t="s">
        <v>84</v>
      </c>
      <c r="G206" s="58">
        <f>SUM(G201:V201)</f>
        <v>0</v>
      </c>
      <c r="I206" s="59" t="s">
        <v>33</v>
      </c>
      <c r="J206" s="60" t="b">
        <f>C195=SUM(G200:V200)-AE204</f>
        <v>0</v>
      </c>
      <c r="L206" s="67" t="s">
        <v>77</v>
      </c>
      <c r="M206" s="68">
        <f>(G206-J206)</f>
        <v>0</v>
      </c>
      <c r="O206" s="61" t="s">
        <v>95</v>
      </c>
      <c r="P206" s="62">
        <f>SUM(G205:W205)</f>
        <v>40225</v>
      </c>
      <c r="Q206" s="20"/>
      <c r="R206" s="63" t="s">
        <v>85</v>
      </c>
      <c r="S206" s="64">
        <f>SUM(X200:AC200)</f>
        <v>33500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/>
      <c r="D208" s="25"/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A192:AB192"/>
    <mergeCell ref="AE192:AS192"/>
    <mergeCell ref="A192:D192"/>
    <mergeCell ref="E192:H192"/>
    <mergeCell ref="I192:L192"/>
    <mergeCell ref="M192:P192"/>
    <mergeCell ref="Q192:T192"/>
    <mergeCell ref="AA174:AB174"/>
    <mergeCell ref="AE174:AS174"/>
    <mergeCell ref="A174:D174"/>
    <mergeCell ref="E174:H174"/>
    <mergeCell ref="I174:L174"/>
    <mergeCell ref="M174:P174"/>
    <mergeCell ref="Q174:T174"/>
    <mergeCell ref="E158:H158"/>
    <mergeCell ref="A158:D158"/>
    <mergeCell ref="AE158:AS158"/>
    <mergeCell ref="AA158:AB158"/>
    <mergeCell ref="Q158:T158"/>
    <mergeCell ref="M158:P158"/>
    <mergeCell ref="I158:L158"/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17"/>
  <sheetViews>
    <sheetView workbookViewId="0">
      <selection activeCell="E6" sqref="E6"/>
    </sheetView>
  </sheetViews>
  <sheetFormatPr defaultRowHeight="14.4"/>
  <cols>
    <col min="3" max="3" width="27" bestFit="1" customWidth="1"/>
    <col min="4" max="4" width="8" bestFit="1" customWidth="1"/>
  </cols>
  <sheetData>
    <row r="2" spans="3:4">
      <c r="C2" t="s">
        <v>187</v>
      </c>
      <c r="D2">
        <v>1500000</v>
      </c>
    </row>
    <row r="3" spans="3:4">
      <c r="C3" s="123" t="s">
        <v>155</v>
      </c>
      <c r="D3">
        <v>45000</v>
      </c>
    </row>
    <row r="4" spans="3:4">
      <c r="C4" s="123" t="s">
        <v>166</v>
      </c>
      <c r="D4">
        <v>10800</v>
      </c>
    </row>
    <row r="5" spans="3:4">
      <c r="C5" s="123" t="s">
        <v>112</v>
      </c>
      <c r="D5">
        <v>12555</v>
      </c>
    </row>
    <row r="6" spans="3:4">
      <c r="C6" s="123" t="s">
        <v>143</v>
      </c>
      <c r="D6">
        <v>13500</v>
      </c>
    </row>
    <row r="7" spans="3:4">
      <c r="C7" s="123" t="s">
        <v>156</v>
      </c>
      <c r="D7">
        <v>48500</v>
      </c>
    </row>
    <row r="8" spans="3:4">
      <c r="C8" s="123" t="s">
        <v>149</v>
      </c>
      <c r="D8">
        <v>18000</v>
      </c>
    </row>
    <row r="9" spans="3:4">
      <c r="C9" s="123" t="s">
        <v>154</v>
      </c>
      <c r="D9">
        <v>50976</v>
      </c>
    </row>
    <row r="10" spans="3:4">
      <c r="C10" s="123" t="s">
        <v>173</v>
      </c>
      <c r="D10">
        <v>18880</v>
      </c>
    </row>
    <row r="11" spans="3:4">
      <c r="C11" s="123" t="s">
        <v>166</v>
      </c>
      <c r="D11">
        <v>5900</v>
      </c>
    </row>
    <row r="12" spans="3:4">
      <c r="C12" s="123" t="s">
        <v>179</v>
      </c>
      <c r="D12">
        <v>193000</v>
      </c>
    </row>
    <row r="13" spans="3:4">
      <c r="C13" s="123" t="s">
        <v>181</v>
      </c>
      <c r="D13">
        <v>29880</v>
      </c>
    </row>
    <row r="14" spans="3:4">
      <c r="C14" s="123" t="s">
        <v>184</v>
      </c>
      <c r="D14">
        <v>9190</v>
      </c>
    </row>
    <row r="15" spans="3:4" ht="28.8">
      <c r="C15" s="123" t="s">
        <v>180</v>
      </c>
      <c r="D15">
        <v>11965</v>
      </c>
    </row>
    <row r="16" spans="3:4">
      <c r="C16" s="123" t="s">
        <v>185</v>
      </c>
      <c r="D16">
        <v>5900</v>
      </c>
    </row>
    <row r="17" spans="3:4" ht="28.8">
      <c r="C17" s="123" t="s">
        <v>186</v>
      </c>
      <c r="D17">
        <v>10000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2026-08-23T13:27:25Z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